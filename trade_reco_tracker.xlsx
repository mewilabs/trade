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" sheetId="2" state="visible" r:id="rId4"/>
    <sheet name="Market_Context" sheetId="3" state="visible" r:id="rId5"/>
    <sheet name="Recommendations" sheetId="4" state="visible" r:id="rId6"/>
    <sheet name="Tracker" sheetId="5" state="visible" r:id="rId7"/>
    <sheet name="Performa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<sst xmlns="http://schemas.openxmlformats.org/spreadsheetml/2006/main" count="113" uniqueCount="93">
  <si>
    <t xml:space="preserve">Daily Trade Recommendations Tracker</t>
  </si>
  <si>
    <t xml:space="preserve">Purpose: log the agent's daily picks (option scalp, intraday, short-term) and track outcomes.</t>
  </si>
  <si>
    <t xml:space="preserve">How to use</t>
  </si>
  <si>
    <t xml:space="preserve">1. The agent appends one row per pick to 'Recommendations' (8:00 AM IST).</t>
  </si>
  <si>
    <t xml:space="preserve">2. The agent (or you) mirrors each pick into 'Tracker' and updates Actual Entry, Exit Price, Exit Date, Status.</t>
  </si>
  <si>
    <t xml:space="preserve">3. Blue font = input cells. Black = formulas (do not overwrite). Yellow rows = EXAMPLE rows: delete before real use.</t>
  </si>
  <si>
    <t xml:space="preserve">4. 'Performance' and P&amp;L / R-multiple columns recalculate automatically.</t>
  </si>
  <si>
    <t xml:space="preserve">5. Edit limits (min risk:reward, max picks, capital, risk %) in 'Config'.</t>
  </si>
  <si>
    <t xml:space="preserve">Status values: Open, Not Triggered, T1 Hit, T2 Hit, SL Hit, Expired, Manual Exit</t>
  </si>
  <si>
    <t xml:space="preserve">Example values are illustrative only, not real recommendations or prices.</t>
  </si>
  <si>
    <t xml:space="preserve">Disclaimer: for personal research/education. Not investment advice. Trading, especially intraday and options, can cause substantial losses.</t>
  </si>
  <si>
    <t xml:space="preserve">Parameter</t>
  </si>
  <si>
    <t xml:space="preserve">Value</t>
  </si>
  <si>
    <t xml:space="preserve">Note</t>
  </si>
  <si>
    <t xml:space="preserve">Trading capital (INR)</t>
  </si>
  <si>
    <t xml:space="preserve">Assumption: your input. Change to your actual capital.</t>
  </si>
  <si>
    <t xml:space="preserve">Risk per trade (% of capital)</t>
  </si>
  <si>
    <t xml:space="preserve">Assumption: 1% default. Stored as fraction.</t>
  </si>
  <si>
    <t xml:space="preserve">Min risk:reward</t>
  </si>
  <si>
    <t xml:space="preserve">Picks below this are rejected by the hook.</t>
  </si>
  <si>
    <t xml:space="preserve">Max option-scalp picks/day</t>
  </si>
  <si>
    <t xml:space="preserve">Per your spec.</t>
  </si>
  <si>
    <t xml:space="preserve">Max intraday picks/day</t>
  </si>
  <si>
    <t xml:space="preserve">Max short-term picks/day</t>
  </si>
  <si>
    <t xml:space="preserve">Short-term max holding (days)</t>
  </si>
  <si>
    <t xml:space="preserve">Assumption: after this, mark Expired.</t>
  </si>
  <si>
    <t xml:space="preserve">Min avg daily turnover (INR cr)</t>
  </si>
  <si>
    <t xml:space="preserve">Assumption: liquidity filter for Nifty 500 scan.</t>
  </si>
  <si>
    <t xml:space="preserve">Risk amount per trade (INR)</t>
  </si>
  <si>
    <t xml:space="preserve">Date</t>
  </si>
  <si>
    <t xml:space="preserve">Gift Nifty</t>
  </si>
  <si>
    <t xml:space="preserve">Nifty Prev Close</t>
  </si>
  <si>
    <t xml:space="preserve">Implied Gap (pts)</t>
  </si>
  <si>
    <t xml:space="preserve">Implied Gap %</t>
  </si>
  <si>
    <t xml:space="preserve">S&amp;P 500 %</t>
  </si>
  <si>
    <t xml:space="preserve">Nasdaq %</t>
  </si>
  <si>
    <t xml:space="preserve">Dow %</t>
  </si>
  <si>
    <t xml:space="preserve">Nikkei %</t>
  </si>
  <si>
    <t xml:space="preserve">Hang Seng %</t>
  </si>
  <si>
    <t xml:space="preserve">Crude (Brent) %</t>
  </si>
  <si>
    <t xml:space="preserve">USD/INR</t>
  </si>
  <si>
    <t xml:space="preserve">India VIX</t>
  </si>
  <si>
    <t xml:space="preserve">US VIX</t>
  </si>
  <si>
    <t xml:space="preserve">Day Bias</t>
  </si>
  <si>
    <t xml:space="preserve">Key Events / Notes</t>
  </si>
  <si>
    <t xml:space="preserve">2026-01-05</t>
  </si>
  <si>
    <t xml:space="preserve">Mild Bullish</t>
  </si>
  <si>
    <t xml:space="preserve">EXAMPLE: illustrative values only</t>
  </si>
  <si>
    <t xml:space="preserve">ID</t>
  </si>
  <si>
    <t xml:space="preserve">Type</t>
  </si>
  <si>
    <t xml:space="preserve">Symbol</t>
  </si>
  <si>
    <t xml:space="preserve">Direction</t>
  </si>
  <si>
    <t xml:space="preserve">Instrument</t>
  </si>
  <si>
    <t xml:space="preserve">Strike / Expiry</t>
  </si>
  <si>
    <t xml:space="preserve">Entry / Trigger</t>
  </si>
  <si>
    <t xml:space="preserve">Stop Loss</t>
  </si>
  <si>
    <t xml:space="preserve">Target 1</t>
  </si>
  <si>
    <t xml:space="preserve">Target 2</t>
  </si>
  <si>
    <t xml:space="preserve">Risk:Reward (T1)</t>
  </si>
  <si>
    <t xml:space="preserve">Qty (by risk)</t>
  </si>
  <si>
    <t xml:space="preserve">Rationale</t>
  </si>
  <si>
    <t xml:space="preserve">Confidence (1-5)</t>
  </si>
  <si>
    <t xml:space="preserve">Valid Until</t>
  </si>
  <si>
    <t xml:space="preserve">20260105-S1</t>
  </si>
  <si>
    <t xml:space="preserve">Option Scalp</t>
  </si>
  <si>
    <t xml:space="preserve">NIFTY</t>
  </si>
  <si>
    <t xml:space="preserve">Buy</t>
  </si>
  <si>
    <t xml:space="preserve">CE</t>
  </si>
  <si>
    <t xml:space="preserve">24600 / weekly</t>
  </si>
  <si>
    <t xml:space="preserve">EXAMPLE: Gift Nifty +0.3%, holds above prior-day high after 9:30; buy only on trigger.</t>
  </si>
  <si>
    <t xml:space="preserve">Planned Entry</t>
  </si>
  <si>
    <t xml:space="preserve">Actual Entry</t>
  </si>
  <si>
    <t xml:space="preserve">Exit Price</t>
  </si>
  <si>
    <t xml:space="preserve">Exit Date</t>
  </si>
  <si>
    <t xml:space="preserve">Status</t>
  </si>
  <si>
    <t xml:space="preserve">P&amp;L %</t>
  </si>
  <si>
    <t xml:space="preserve">R-Multiple</t>
  </si>
  <si>
    <t xml:space="preserve">Days Held</t>
  </si>
  <si>
    <t xml:space="preserve">Win?</t>
  </si>
  <si>
    <t xml:space="preserve">Notes</t>
  </si>
  <si>
    <t xml:space="preserve">T1 Hit</t>
  </si>
  <si>
    <t xml:space="preserve">EXAMPLE: delete this row</t>
  </si>
  <si>
    <t xml:space="preserve">Closed Trades</t>
  </si>
  <si>
    <t xml:space="preserve">Wins</t>
  </si>
  <si>
    <t xml:space="preserve">Win Rate</t>
  </si>
  <si>
    <t xml:space="preserve">Avg P&amp;L %</t>
  </si>
  <si>
    <t xml:space="preserve">Avg R-Multiple</t>
  </si>
  <si>
    <t xml:space="preserve">Total R</t>
  </si>
  <si>
    <t xml:space="preserve">Open Trades</t>
  </si>
  <si>
    <t xml:space="preserve">Intraday</t>
  </si>
  <si>
    <t xml:space="preserve">Short-term</t>
  </si>
  <si>
    <t xml:space="preserve">All</t>
  </si>
  <si>
    <t xml:space="preserve">Note: Closed = rows with a computed P&amp;L. Includes the yellow EXAMPLE row until you delete it.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</si>
</sst>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;\(#,##0\);\-"/>
    <numFmt numFmtId="168" formatCode="0.00%"/>
    <numFmt numFmtId="169" formatCode="0.00\x"/>
    <numFmt numFmtId="170" formatCode="0.0%;[RED]\-0.0%"/>
    <numFmt numFmtId="171" formatCode="0.00\R;[RED]\-0.00\R"/>
    <numFmt numFmtId="172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31.5" hidden="false" customHeight="true" outlineLevel="0" collapsed="false">
      <c r="A1" s="4" t="s">
        <v>11</v>
      </c>
      <c r="B1" s="4" t="s">
        <v>12</v>
      </c>
      <c r="C1" s="4" t="s">
        <v>13</v>
      </c>
    </row>
    <row r="2" customFormat="false" ht="15" hidden="false" customHeight="false" outlineLevel="0" collapsed="false">
      <c r="A2" s="5" t="s">
        <v>14</v>
      </c>
      <c r="B2" s="6" t="n">
        <v>500000</v>
      </c>
      <c r="C2" s="5" t="s">
        <v>15</v>
      </c>
    </row>
    <row r="3" customFormat="false" ht="15" hidden="false" customHeight="false" outlineLevel="0" collapsed="false">
      <c r="A3" s="5" t="s">
        <v>16</v>
      </c>
      <c r="B3" s="7" t="n">
        <v>0.01</v>
      </c>
      <c r="C3" s="5" t="s">
        <v>17</v>
      </c>
    </row>
    <row r="4" customFormat="false" ht="15" hidden="false" customHeight="false" outlineLevel="0" collapsed="false">
      <c r="A4" s="5" t="s">
        <v>18</v>
      </c>
      <c r="B4" s="8" t="n">
        <v>1.5</v>
      </c>
      <c r="C4" s="5" t="s">
        <v>19</v>
      </c>
    </row>
    <row r="5" customFormat="false" ht="15" hidden="false" customHeight="false" outlineLevel="0" collapsed="false">
      <c r="A5" s="5" t="s">
        <v>20</v>
      </c>
      <c r="B5" s="8" t="n">
        <v>2</v>
      </c>
      <c r="C5" s="5" t="s">
        <v>21</v>
      </c>
    </row>
    <row r="6" customFormat="false" ht="15" hidden="false" customHeight="false" outlineLevel="0" collapsed="false">
      <c r="A6" s="5" t="s">
        <v>22</v>
      </c>
      <c r="B6" s="8" t="n">
        <v>2</v>
      </c>
      <c r="C6" s="5" t="s">
        <v>21</v>
      </c>
    </row>
    <row r="7" customFormat="false" ht="15" hidden="false" customHeight="false" outlineLevel="0" collapsed="false">
      <c r="A7" s="5" t="s">
        <v>23</v>
      </c>
      <c r="B7" s="8" t="n">
        <v>2</v>
      </c>
      <c r="C7" s="5" t="s">
        <v>21</v>
      </c>
    </row>
    <row r="8" customFormat="false" ht="15" hidden="false" customHeight="false" outlineLevel="0" collapsed="false">
      <c r="A8" s="5" t="s">
        <v>24</v>
      </c>
      <c r="B8" s="8" t="n">
        <v>10</v>
      </c>
      <c r="C8" s="5" t="s">
        <v>25</v>
      </c>
    </row>
    <row r="9" customFormat="false" ht="15" hidden="false" customHeight="false" outlineLevel="0" collapsed="false">
      <c r="A9" s="5" t="s">
        <v>26</v>
      </c>
      <c r="B9" s="8" t="n">
        <v>20</v>
      </c>
      <c r="C9" s="5" t="s">
        <v>27</v>
      </c>
    </row>
    <row r="11" customFormat="false" ht="15" hidden="false" customHeight="false" outlineLevel="0" collapsed="false">
      <c r="A11" s="3" t="s">
        <v>28</v>
      </c>
      <c r="B11" s="9" t="n">
        <f aca="false">B2*B3</f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5" min="15" style="0" width="14"/>
    <col collapsed="false" customWidth="true" hidden="false" outlineLevel="0" max="16" min="16" style="0" width="50"/>
  </cols>
  <sheetData>
    <row r="1" customFormat="false" ht="31.5" hidden="false" customHeight="tru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</row>
    <row r="2" customFormat="false" ht="15" hidden="false" customHeight="false" outlineLevel="0" collapsed="false">
      <c r="A2" s="10" t="s">
        <v>45</v>
      </c>
      <c r="B2" s="11" t="n">
        <v>24550</v>
      </c>
      <c r="C2" s="11" t="n">
        <v>24480</v>
      </c>
      <c r="D2" s="12" t="n">
        <f aca="false">IF(OR(B2="",C2=""),"",B2-C2)</f>
        <v>70</v>
      </c>
      <c r="E2" s="13" t="n">
        <f aca="false">IF(OR(B2="",C2=""),"",D2/C2)</f>
        <v>0.00285947712418301</v>
      </c>
      <c r="F2" s="14" t="n">
        <v>0.004</v>
      </c>
      <c r="G2" s="14" t="n">
        <v>0.006</v>
      </c>
      <c r="H2" s="14" t="n">
        <v>0.002</v>
      </c>
      <c r="I2" s="14" t="n">
        <v>-0.003</v>
      </c>
      <c r="J2" s="14" t="n">
        <v>0.001</v>
      </c>
      <c r="K2" s="14" t="n">
        <v>-0.005</v>
      </c>
      <c r="L2" s="10" t="n">
        <v>85.2</v>
      </c>
      <c r="M2" s="10" t="n">
        <v>13.4</v>
      </c>
      <c r="N2" s="10" t="n">
        <v>16.1</v>
      </c>
      <c r="O2" s="10" t="s">
        <v>46</v>
      </c>
      <c r="P2" s="10" t="s">
        <v>47</v>
      </c>
    </row>
    <row r="3" customFormat="false" ht="15" hidden="false" customHeight="false" outlineLevel="0" collapsed="false">
      <c r="D3" s="15" t="str">
        <f aca="false">IF(OR(B3="",C3=""),"",B3-C3)</f>
        <v/>
      </c>
      <c r="E3" s="16" t="str">
        <f aca="false">IF(OR(B3="",C3=""),"",D3/C3)</f>
        <v/>
      </c>
    </row>
    <row r="4" customFormat="false" ht="15" hidden="false" customHeight="false" outlineLevel="0" collapsed="false">
      <c r="D4" s="15" t="str">
        <f aca="false">IF(OR(B4="",C4=""),"",B4-C4)</f>
        <v/>
      </c>
      <c r="E4" s="16" t="str">
        <f aca="false">IF(OR(B4="",C4=""),"",D4/C4)</f>
        <v/>
      </c>
    </row>
    <row r="5" customFormat="false" ht="15" hidden="false" customHeight="false" outlineLevel="0" collapsed="false">
      <c r="D5" s="15" t="str">
        <f aca="false">IF(OR(B5="",C5=""),"",B5-C5)</f>
        <v/>
      </c>
      <c r="E5" s="16" t="str">
        <f aca="false">IF(OR(B5="",C5=""),"",D5/C5)</f>
        <v/>
      </c>
    </row>
    <row r="6" customFormat="false" ht="15" hidden="false" customHeight="false" outlineLevel="0" collapsed="false">
      <c r="D6" s="15" t="str">
        <f aca="false">IF(OR(B6="",C6=""),"",B6-C6)</f>
        <v/>
      </c>
      <c r="E6" s="16" t="str">
        <f aca="false">IF(OR(B6="",C6=""),"",D6/C6)</f>
        <v/>
      </c>
    </row>
    <row r="7" customFormat="false" ht="15" hidden="false" customHeight="false" outlineLevel="0" collapsed="false">
      <c r="D7" s="15" t="str">
        <f aca="false">IF(OR(B7="",C7=""),"",B7-C7)</f>
        <v/>
      </c>
      <c r="E7" s="16" t="str">
        <f aca="false">IF(OR(B7="",C7=""),"",D7/C7)</f>
        <v/>
      </c>
    </row>
    <row r="8" customFormat="false" ht="15" hidden="false" customHeight="false" outlineLevel="0" collapsed="false">
      <c r="D8" s="15" t="str">
        <f aca="false">IF(OR(B8="",C8=""),"",B8-C8)</f>
        <v/>
      </c>
      <c r="E8" s="16" t="str">
        <f aca="false">IF(OR(B8="",C8=""),"",D8/C8)</f>
        <v/>
      </c>
    </row>
    <row r="9" customFormat="false" ht="15" hidden="false" customHeight="false" outlineLevel="0" collapsed="false">
      <c r="D9" s="15" t="str">
        <f aca="false">IF(OR(B9="",C9=""),"",B9-C9)</f>
        <v/>
      </c>
      <c r="E9" s="16" t="str">
        <f aca="false">IF(OR(B9="",C9=""),"",D9/C9)</f>
        <v/>
      </c>
    </row>
    <row r="10" customFormat="false" ht="15" hidden="false" customHeight="false" outlineLevel="0" collapsed="false">
      <c r="D10" s="15" t="str">
        <f aca="false">IF(OR(B10="",C10=""),"",B10-C10)</f>
        <v/>
      </c>
      <c r="E10" s="16" t="str">
        <f aca="false">IF(OR(B10="",C10=""),"",D10/C10)</f>
        <v/>
      </c>
    </row>
    <row r="11" customFormat="false" ht="15" hidden="false" customHeight="false" outlineLevel="0" collapsed="false">
      <c r="D11" s="15" t="str">
        <f aca="false">IF(OR(B11="",C11=""),"",B11-C11)</f>
        <v/>
      </c>
      <c r="E11" s="16" t="str">
        <f aca="false">IF(OR(B11="",C11=""),"",D11/C11)</f>
        <v/>
      </c>
    </row>
    <row r="12" customFormat="false" ht="15" hidden="false" customHeight="false" outlineLevel="0" collapsed="false">
      <c r="D12" s="15" t="str">
        <f aca="false">IF(OR(B12="",C12=""),"",B12-C12)</f>
        <v/>
      </c>
      <c r="E12" s="16" t="str">
        <f aca="false">IF(OR(B12="",C12=""),"",D12/C12)</f>
        <v/>
      </c>
    </row>
    <row r="13" customFormat="false" ht="15" hidden="false" customHeight="false" outlineLevel="0" collapsed="false">
      <c r="D13" s="15" t="str">
        <f aca="false">IF(OR(B13="",C13=""),"",B13-C13)</f>
        <v/>
      </c>
      <c r="E13" s="16" t="str">
        <f aca="false">IF(OR(B13="",C13=""),"",D13/C13)</f>
        <v/>
      </c>
    </row>
    <row r="14" customFormat="false" ht="15" hidden="false" customHeight="false" outlineLevel="0" collapsed="false">
      <c r="D14" s="15" t="str">
        <f aca="false">IF(OR(B14="",C14=""),"",B14-C14)</f>
        <v/>
      </c>
      <c r="E14" s="16" t="str">
        <f aca="false">IF(OR(B14="",C14=""),"",D14/C14)</f>
        <v/>
      </c>
    </row>
    <row r="15" customFormat="false" ht="15" hidden="false" customHeight="false" outlineLevel="0" collapsed="false">
      <c r="D15" s="15" t="str">
        <f aca="false">IF(OR(B15="",C15=""),"",B15-C15)</f>
        <v/>
      </c>
      <c r="E15" s="16" t="str">
        <f aca="false">IF(OR(B15="",C15=""),"",D15/C15)</f>
        <v/>
      </c>
    </row>
    <row r="16" customFormat="false" ht="15" hidden="false" customHeight="false" outlineLevel="0" collapsed="false">
      <c r="D16" s="15" t="str">
        <f aca="false">IF(OR(B16="",C16=""),"",B16-C16)</f>
        <v/>
      </c>
      <c r="E16" s="16" t="str">
        <f aca="false">IF(OR(B16="",C16=""),"",D16/C16)</f>
        <v/>
      </c>
    </row>
    <row r="17" customFormat="false" ht="15" hidden="false" customHeight="false" outlineLevel="0" collapsed="false">
      <c r="D17" s="15" t="str">
        <f aca="false">IF(OR(B17="",C17=""),"",B17-C17)</f>
        <v/>
      </c>
      <c r="E17" s="16" t="str">
        <f aca="false">IF(OR(B17="",C17=""),"",D17/C17)</f>
        <v/>
      </c>
    </row>
    <row r="18" customFormat="false" ht="15" hidden="false" customHeight="false" outlineLevel="0" collapsed="false">
      <c r="D18" s="15" t="str">
        <f aca="false">IF(OR(B18="",C18=""),"",B18-C18)</f>
        <v/>
      </c>
      <c r="E18" s="16" t="str">
        <f aca="false">IF(OR(B18="",C18=""),"",D18/C18)</f>
        <v/>
      </c>
    </row>
    <row r="19" customFormat="false" ht="15" hidden="false" customHeight="false" outlineLevel="0" collapsed="false">
      <c r="D19" s="15" t="str">
        <f aca="false">IF(OR(B19="",C19=""),"",B19-C19)</f>
        <v/>
      </c>
      <c r="E19" s="16" t="str">
        <f aca="false">IF(OR(B19="",C19=""),"",D19/C19)</f>
        <v/>
      </c>
    </row>
    <row r="20" customFormat="false" ht="15" hidden="false" customHeight="false" outlineLevel="0" collapsed="false">
      <c r="D20" s="15" t="str">
        <f aca="false">IF(OR(B20="",C20=""),"",B20-C20)</f>
        <v/>
      </c>
      <c r="E20" s="16" t="str">
        <f aca="false">IF(OR(B20="",C20=""),"",D20/C20)</f>
        <v/>
      </c>
    </row>
    <row r="21" customFormat="false" ht="15" hidden="false" customHeight="false" outlineLevel="0" collapsed="false">
      <c r="D21" s="15" t="str">
        <f aca="false">IF(OR(B21="",C21=""),"",B21-C21)</f>
        <v/>
      </c>
      <c r="E21" s="16" t="str">
        <f aca="false">IF(OR(B21="",C21=""),"",D21/C21)</f>
        <v/>
      </c>
    </row>
    <row r="22" customFormat="false" ht="15" hidden="false" customHeight="false" outlineLevel="0" collapsed="false">
      <c r="D22" s="15" t="str">
        <f aca="false">IF(OR(B22="",C22=""),"",B22-C22)</f>
        <v/>
      </c>
      <c r="E22" s="16" t="str">
        <f aca="false">IF(OR(B22="",C22=""),"",D22/C22)</f>
        <v/>
      </c>
    </row>
    <row r="23" customFormat="false" ht="15" hidden="false" customHeight="false" outlineLevel="0" collapsed="false">
      <c r="D23" s="15" t="str">
        <f aca="false">IF(OR(B23="",C23=""),"",B23-C23)</f>
        <v/>
      </c>
      <c r="E23" s="16" t="str">
        <f aca="false">IF(OR(B23="",C23=""),"",D23/C23)</f>
        <v/>
      </c>
    </row>
    <row r="24" customFormat="false" ht="15" hidden="false" customHeight="false" outlineLevel="0" collapsed="false">
      <c r="D24" s="15" t="str">
        <f aca="false">IF(OR(B24="",C24=""),"",B24-C24)</f>
        <v/>
      </c>
      <c r="E24" s="16" t="str">
        <f aca="false">IF(OR(B24="",C24=""),"",D24/C24)</f>
        <v/>
      </c>
    </row>
    <row r="25" customFormat="false" ht="15" hidden="false" customHeight="false" outlineLevel="0" collapsed="false">
      <c r="D25" s="15" t="str">
        <f aca="false">IF(OR(B25="",C25=""),"",B25-C25)</f>
        <v/>
      </c>
      <c r="E25" s="16" t="str">
        <f aca="false">IF(OR(B25="",C25=""),"",D25/C25)</f>
        <v/>
      </c>
    </row>
    <row r="26" customFormat="false" ht="15" hidden="false" customHeight="false" outlineLevel="0" collapsed="false">
      <c r="D26" s="15" t="str">
        <f aca="false">IF(OR(B26="",C26=""),"",B26-C26)</f>
        <v/>
      </c>
      <c r="E26" s="16" t="str">
        <f aca="false">IF(OR(B26="",C26=""),"",D26/C26)</f>
        <v/>
      </c>
    </row>
    <row r="27" customFormat="false" ht="15" hidden="false" customHeight="false" outlineLevel="0" collapsed="false">
      <c r="D27" s="15" t="str">
        <f aca="false">IF(OR(B27="",C27=""),"",B27-C27)</f>
        <v/>
      </c>
      <c r="E27" s="16" t="str">
        <f aca="false">IF(OR(B27="",C27=""),"",D27/C27)</f>
        <v/>
      </c>
    </row>
    <row r="28" customFormat="false" ht="15" hidden="false" customHeight="false" outlineLevel="0" collapsed="false">
      <c r="D28" s="15" t="str">
        <f aca="false">IF(OR(B28="",C28=""),"",B28-C28)</f>
        <v/>
      </c>
      <c r="E28" s="16" t="str">
        <f aca="false">IF(OR(B28="",C28=""),"",D28/C28)</f>
        <v/>
      </c>
    </row>
    <row r="29" customFormat="false" ht="15" hidden="false" customHeight="false" outlineLevel="0" collapsed="false">
      <c r="D29" s="15" t="str">
        <f aca="false">IF(OR(B29="",C29=""),"",B29-C29)</f>
        <v/>
      </c>
      <c r="E29" s="16" t="str">
        <f aca="false">IF(OR(B29="",C29=""),"",D29/C29)</f>
        <v/>
      </c>
    </row>
    <row r="30" customFormat="false" ht="15" hidden="false" customHeight="false" outlineLevel="0" collapsed="false">
      <c r="D30" s="15" t="str">
        <f aca="false">IF(OR(B30="",C30=""),"",B30-C30)</f>
        <v/>
      </c>
      <c r="E30" s="16" t="str">
        <f aca="false">IF(OR(B30="",C30=""),"",D30/C30)</f>
        <v/>
      </c>
    </row>
    <row r="31" customFormat="false" ht="15" hidden="false" customHeight="false" outlineLevel="0" collapsed="false">
      <c r="D31" s="15" t="str">
        <f aca="false">IF(OR(B31="",C31=""),"",B31-C31)</f>
        <v/>
      </c>
      <c r="E31" s="16" t="str">
        <f aca="false">IF(OR(B31="",C31=""),"",D31/C31)</f>
        <v/>
      </c>
    </row>
    <row r="32" customFormat="false" ht="15" hidden="false" customHeight="false" outlineLevel="0" collapsed="false">
      <c r="D32" s="15" t="str">
        <f aca="false">IF(OR(B32="",C32=""),"",B32-C32)</f>
        <v/>
      </c>
      <c r="E32" s="16" t="str">
        <f aca="false">IF(OR(B32="",C32=""),"",D32/C32)</f>
        <v/>
      </c>
    </row>
    <row r="33" customFormat="false" ht="15" hidden="false" customHeight="false" outlineLevel="0" collapsed="false">
      <c r="D33" s="15" t="str">
        <f aca="false">IF(OR(B33="",C33=""),"",B33-C33)</f>
        <v/>
      </c>
      <c r="E33" s="16" t="str">
        <f aca="false">IF(OR(B33="",C33=""),"",D33/C33)</f>
        <v/>
      </c>
    </row>
    <row r="34" customFormat="false" ht="15" hidden="false" customHeight="false" outlineLevel="0" collapsed="false">
      <c r="D34" s="15" t="str">
        <f aca="false">IF(OR(B34="",C34=""),"",B34-C34)</f>
        <v/>
      </c>
      <c r="E34" s="16" t="str">
        <f aca="false">IF(OR(B34="",C34=""),"",D34/C34)</f>
        <v/>
      </c>
    </row>
    <row r="35" customFormat="false" ht="15" hidden="false" customHeight="false" outlineLevel="0" collapsed="false">
      <c r="D35" s="15" t="str">
        <f aca="false">IF(OR(B35="",C35=""),"",B35-C35)</f>
        <v/>
      </c>
      <c r="E35" s="16" t="str">
        <f aca="false">IF(OR(B35="",C35=""),"",D35/C35)</f>
        <v/>
      </c>
    </row>
    <row r="36" customFormat="false" ht="15" hidden="false" customHeight="false" outlineLevel="0" collapsed="false">
      <c r="D36" s="15" t="str">
        <f aca="false">IF(OR(B36="",C36=""),"",B36-C36)</f>
        <v/>
      </c>
      <c r="E36" s="16" t="str">
        <f aca="false">IF(OR(B36="",C36=""),"",D36/C36)</f>
        <v/>
      </c>
    </row>
    <row r="37" customFormat="false" ht="15" hidden="false" customHeight="false" outlineLevel="0" collapsed="false">
      <c r="D37" s="15" t="str">
        <f aca="false">IF(OR(B37="",C37=""),"",B37-C37)</f>
        <v/>
      </c>
      <c r="E37" s="16" t="str">
        <f aca="false">IF(OR(B37="",C37=""),"",D37/C37)</f>
        <v/>
      </c>
    </row>
    <row r="38" customFormat="false" ht="15" hidden="false" customHeight="false" outlineLevel="0" collapsed="false">
      <c r="D38" s="15" t="str">
        <f aca="false">IF(OR(B38="",C38=""),"",B38-C38)</f>
        <v/>
      </c>
      <c r="E38" s="16" t="str">
        <f aca="false">IF(OR(B38="",C38=""),"",D38/C38)</f>
        <v/>
      </c>
    </row>
    <row r="39" customFormat="false" ht="15" hidden="false" customHeight="false" outlineLevel="0" collapsed="false">
      <c r="D39" s="15" t="str">
        <f aca="false">IF(OR(B39="",C39=""),"",B39-C39)</f>
        <v/>
      </c>
      <c r="E39" s="16" t="str">
        <f aca="false">IF(OR(B39="",C39=""),"",D39/C39)</f>
        <v/>
      </c>
    </row>
    <row r="40" customFormat="false" ht="15" hidden="false" customHeight="false" outlineLevel="0" collapsed="false">
      <c r="D40" s="15" t="str">
        <f aca="false">IF(OR(B40="",C40=""),"",B40-C40)</f>
        <v/>
      </c>
      <c r="E40" s="16" t="str">
        <f aca="false">IF(OR(B40="",C40=""),"",D40/C40)</f>
        <v/>
      </c>
    </row>
    <row r="41" customFormat="false" ht="15" hidden="false" customHeight="false" outlineLevel="0" collapsed="false">
      <c r="D41" s="15" t="str">
        <f aca="false">IF(OR(B41="",C41=""),"",B41-C41)</f>
        <v/>
      </c>
      <c r="E41" s="16" t="str">
        <f aca="false">IF(OR(B41="",C41=""),"",D41/C41)</f>
        <v/>
      </c>
    </row>
    <row r="42" customFormat="false" ht="15" hidden="false" customHeight="false" outlineLevel="0" collapsed="false">
      <c r="D42" s="15" t="str">
        <f aca="false">IF(OR(B42="",C42=""),"",B42-C42)</f>
        <v/>
      </c>
      <c r="E42" s="16" t="str">
        <f aca="false">IF(OR(B42="",C42=""),"",D42/C42)</f>
        <v/>
      </c>
    </row>
    <row r="43" customFormat="false" ht="15" hidden="false" customHeight="false" outlineLevel="0" collapsed="false">
      <c r="D43" s="15" t="str">
        <f aca="false">IF(OR(B43="",C43=""),"",B43-C43)</f>
        <v/>
      </c>
      <c r="E43" s="16" t="str">
        <f aca="false">IF(OR(B43="",C43=""),"",D43/C43)</f>
        <v/>
      </c>
    </row>
    <row r="44" customFormat="false" ht="15" hidden="false" customHeight="false" outlineLevel="0" collapsed="false">
      <c r="D44" s="15" t="str">
        <f aca="false">IF(OR(B44="",C44=""),"",B44-C44)</f>
        <v/>
      </c>
      <c r="E44" s="16" t="str">
        <f aca="false">IF(OR(B44="",C44=""),"",D44/C44)</f>
        <v/>
      </c>
    </row>
    <row r="45" customFormat="false" ht="15" hidden="false" customHeight="false" outlineLevel="0" collapsed="false">
      <c r="D45" s="15" t="str">
        <f aca="false">IF(OR(B45="",C45=""),"",B45-C45)</f>
        <v/>
      </c>
      <c r="E45" s="16" t="str">
        <f aca="false">IF(OR(B45="",C45=""),"",D45/C45)</f>
        <v/>
      </c>
    </row>
    <row r="46" customFormat="false" ht="15" hidden="false" customHeight="false" outlineLevel="0" collapsed="false">
      <c r="D46" s="15" t="str">
        <f aca="false">IF(OR(B46="",C46=""),"",B46-C46)</f>
        <v/>
      </c>
      <c r="E46" s="16" t="str">
        <f aca="false">IF(OR(B46="",C46=""),"",D46/C46)</f>
        <v/>
      </c>
    </row>
    <row r="47" customFormat="false" ht="15" hidden="false" customHeight="false" outlineLevel="0" collapsed="false">
      <c r="D47" s="15" t="str">
        <f aca="false">IF(OR(B47="",C47=""),"",B47-C47)</f>
        <v/>
      </c>
      <c r="E47" s="16" t="str">
        <f aca="false">IF(OR(B47="",C47=""),"",D47/C47)</f>
        <v/>
      </c>
    </row>
    <row r="48" customFormat="false" ht="15" hidden="false" customHeight="false" outlineLevel="0" collapsed="false">
      <c r="D48" s="15" t="str">
        <f aca="false">IF(OR(B48="",C48=""),"",B48-C48)</f>
        <v/>
      </c>
      <c r="E48" s="16" t="str">
        <f aca="false">IF(OR(B48="",C48=""),"",D48/C48)</f>
        <v/>
      </c>
    </row>
    <row r="49" customFormat="false" ht="15" hidden="false" customHeight="false" outlineLevel="0" collapsed="false">
      <c r="D49" s="15" t="str">
        <f aca="false">IF(OR(B49="",C49=""),"",B49-C49)</f>
        <v/>
      </c>
      <c r="E49" s="16" t="str">
        <f aca="false">IF(OR(B49="",C49=""),"",D49/C49)</f>
        <v/>
      </c>
    </row>
    <row r="50" customFormat="false" ht="15" hidden="false" customHeight="false" outlineLevel="0" collapsed="false">
      <c r="D50" s="15" t="str">
        <f aca="false">IF(OR(B50="",C50=""),"",B50-C50)</f>
        <v/>
      </c>
      <c r="E50" s="16" t="str">
        <f aca="false">IF(OR(B50="",C50=""),"",D50/C50)</f>
        <v/>
      </c>
    </row>
    <row r="51" customFormat="false" ht="15" hidden="false" customHeight="false" outlineLevel="0" collapsed="false">
      <c r="D51" s="15" t="str">
        <f aca="false">IF(OR(B51="",C51=""),"",B51-C51)</f>
        <v/>
      </c>
      <c r="E51" s="16" t="str">
        <f aca="false">IF(OR(B51="",C51=""),"",D51/C51)</f>
        <v/>
      </c>
    </row>
    <row r="52" customFormat="false" ht="15" hidden="false" customHeight="false" outlineLevel="0" collapsed="false">
      <c r="D52" s="15" t="str">
        <f aca="false">IF(OR(B52="",C52=""),"",B52-C52)</f>
        <v/>
      </c>
      <c r="E52" s="16" t="str">
        <f aca="false">IF(OR(B52="",C52=""),"",D52/C52)</f>
        <v/>
      </c>
    </row>
    <row r="53" customFormat="false" ht="15" hidden="false" customHeight="false" outlineLevel="0" collapsed="false">
      <c r="D53" s="15" t="str">
        <f aca="false">IF(OR(B53="",C53=""),"",B53-C53)</f>
        <v/>
      </c>
      <c r="E53" s="16" t="str">
        <f aca="false">IF(OR(B53="",C53=""),"",D53/C53)</f>
        <v/>
      </c>
    </row>
    <row r="54" customFormat="false" ht="15" hidden="false" customHeight="false" outlineLevel="0" collapsed="false">
      <c r="D54" s="15" t="str">
        <f aca="false">IF(OR(B54="",C54=""),"",B54-C54)</f>
        <v/>
      </c>
      <c r="E54" s="16" t="str">
        <f aca="false">IF(OR(B54="",C54=""),"",D54/C54)</f>
        <v/>
      </c>
    </row>
    <row r="55" customFormat="false" ht="15" hidden="false" customHeight="false" outlineLevel="0" collapsed="false">
      <c r="D55" s="15" t="str">
        <f aca="false">IF(OR(B55="",C55=""),"",B55-C55)</f>
        <v/>
      </c>
      <c r="E55" s="16" t="str">
        <f aca="false">IF(OR(B55="",C55=""),"",D55/C55)</f>
        <v/>
      </c>
    </row>
    <row r="56" customFormat="false" ht="15" hidden="false" customHeight="false" outlineLevel="0" collapsed="false">
      <c r="D56" s="15" t="str">
        <f aca="false">IF(OR(B56="",C56=""),"",B56-C56)</f>
        <v/>
      </c>
      <c r="E56" s="16" t="str">
        <f aca="false">IF(OR(B56="",C56=""),"",D56/C56)</f>
        <v/>
      </c>
    </row>
    <row r="57" customFormat="false" ht="15" hidden="false" customHeight="false" outlineLevel="0" collapsed="false">
      <c r="D57" s="15" t="str">
        <f aca="false">IF(OR(B57="",C57=""),"",B57-C57)</f>
        <v/>
      </c>
      <c r="E57" s="16" t="str">
        <f aca="false">IF(OR(B57="",C57=""),"",D57/C57)</f>
        <v/>
      </c>
    </row>
    <row r="58" customFormat="false" ht="15" hidden="false" customHeight="false" outlineLevel="0" collapsed="false">
      <c r="D58" s="15" t="str">
        <f aca="false">IF(OR(B58="",C58=""),"",B58-C58)</f>
        <v/>
      </c>
      <c r="E58" s="16" t="str">
        <f aca="false">IF(OR(B58="",C58=""),"",D58/C58)</f>
        <v/>
      </c>
    </row>
    <row r="59" customFormat="false" ht="15" hidden="false" customHeight="false" outlineLevel="0" collapsed="false">
      <c r="D59" s="15" t="str">
        <f aca="false">IF(OR(B59="",C59=""),"",B59-C59)</f>
        <v/>
      </c>
      <c r="E59" s="16" t="str">
        <f aca="false">IF(OR(B59="",C59=""),"",D59/C59)</f>
        <v/>
      </c>
    </row>
    <row r="60" customFormat="false" ht="15" hidden="false" customHeight="false" outlineLevel="0" collapsed="false">
      <c r="D60" s="15" t="str">
        <f aca="false">IF(OR(B60="",C60=""),"",B60-C60)</f>
        <v/>
      </c>
      <c r="E60" s="16" t="str">
        <f aca="false">IF(OR(B60="",C60=""),"",D60/C60)</f>
        <v/>
      </c>
    </row>
    <row r="61" customFormat="false" ht="15" hidden="false" customHeight="false" outlineLevel="0" collapsed="false">
      <c r="D61" s="15" t="str">
        <f aca="false">IF(OR(B61="",C61=""),"",B61-C61)</f>
        <v/>
      </c>
      <c r="E61" s="16" t="str">
        <f aca="false">IF(OR(B61="",C61=""),"",D61/C61)</f>
        <v/>
      </c>
    </row>
    <row r="62" customFormat="false" ht="15" hidden="false" customHeight="false" outlineLevel="0" collapsed="false">
      <c r="D62" s="15" t="str">
        <f aca="false">IF(OR(B62="",C62=""),"",B62-C62)</f>
        <v/>
      </c>
      <c r="E62" s="16" t="str">
        <f aca="false">IF(OR(B62="",C62=""),"",D62/C62)</f>
        <v/>
      </c>
    </row>
    <row r="63" customFormat="false" ht="15" hidden="false" customHeight="false" outlineLevel="0" collapsed="false">
      <c r="D63" s="15" t="str">
        <f aca="false">IF(OR(B63="",C63=""),"",B63-C63)</f>
        <v/>
      </c>
      <c r="E63" s="16" t="str">
        <f aca="false">IF(OR(B63="",C63=""),"",D63/C63)</f>
        <v/>
      </c>
    </row>
    <row r="64" customFormat="false" ht="15" hidden="false" customHeight="false" outlineLevel="0" collapsed="false">
      <c r="D64" s="15" t="str">
        <f aca="false">IF(OR(B64="",C64=""),"",B64-C64)</f>
        <v/>
      </c>
      <c r="E64" s="16" t="str">
        <f aca="false">IF(OR(B64="",C64=""),"",D64/C64)</f>
        <v/>
      </c>
    </row>
    <row r="65" customFormat="false" ht="15" hidden="false" customHeight="false" outlineLevel="0" collapsed="false">
      <c r="D65" s="15" t="str">
        <f aca="false">IF(OR(B65="",C65=""),"",B65-C65)</f>
        <v/>
      </c>
      <c r="E65" s="16" t="str">
        <f aca="false">IF(OR(B65="",C65=""),"",D65/C65)</f>
        <v/>
      </c>
    </row>
    <row r="66" customFormat="false" ht="15" hidden="false" customHeight="false" outlineLevel="0" collapsed="false">
      <c r="D66" s="15" t="str">
        <f aca="false">IF(OR(B66="",C66=""),"",B66-C66)</f>
        <v/>
      </c>
      <c r="E66" s="16" t="str">
        <f aca="false">IF(OR(B66="",C66=""),"",D66/C66)</f>
        <v/>
      </c>
    </row>
    <row r="67" customFormat="false" ht="15" hidden="false" customHeight="false" outlineLevel="0" collapsed="false">
      <c r="D67" s="15" t="str">
        <f aca="false">IF(OR(B67="",C67=""),"",B67-C67)</f>
        <v/>
      </c>
      <c r="E67" s="16" t="str">
        <f aca="false">IF(OR(B67="",C67=""),"",D67/C67)</f>
        <v/>
      </c>
    </row>
    <row r="68" customFormat="false" ht="15" hidden="false" customHeight="false" outlineLevel="0" collapsed="false">
      <c r="D68" s="15" t="str">
        <f aca="false">IF(OR(B68="",C68=""),"",B68-C68)</f>
        <v/>
      </c>
      <c r="E68" s="16" t="str">
        <f aca="false">IF(OR(B68="",C68=""),"",D68/C68)</f>
        <v/>
      </c>
    </row>
    <row r="69" customFormat="false" ht="15" hidden="false" customHeight="false" outlineLevel="0" collapsed="false">
      <c r="D69" s="15" t="str">
        <f aca="false">IF(OR(B69="",C69=""),"",B69-C69)</f>
        <v/>
      </c>
      <c r="E69" s="16" t="str">
        <f aca="false">IF(OR(B69="",C69=""),"",D69/C69)</f>
        <v/>
      </c>
    </row>
    <row r="70" customFormat="false" ht="15" hidden="false" customHeight="false" outlineLevel="0" collapsed="false">
      <c r="D70" s="15" t="str">
        <f aca="false">IF(OR(B70="",C70=""),"",B70-C70)</f>
        <v/>
      </c>
      <c r="E70" s="16" t="str">
        <f aca="false">IF(OR(B70="",C70=""),"",D70/C70)</f>
        <v/>
      </c>
    </row>
    <row r="71" customFormat="false" ht="15" hidden="false" customHeight="false" outlineLevel="0" collapsed="false">
      <c r="D71" s="15" t="str">
        <f aca="false">IF(OR(B71="",C71=""),"",B71-C71)</f>
        <v/>
      </c>
      <c r="E71" s="16" t="str">
        <f aca="false">IF(OR(B71="",C71=""),"",D71/C71)</f>
        <v/>
      </c>
    </row>
    <row r="72" customFormat="false" ht="15" hidden="false" customHeight="false" outlineLevel="0" collapsed="false">
      <c r="D72" s="15" t="str">
        <f aca="false">IF(OR(B72="",C72=""),"",B72-C72)</f>
        <v/>
      </c>
      <c r="E72" s="16" t="str">
        <f aca="false">IF(OR(B72="",C72=""),"",D72/C72)</f>
        <v/>
      </c>
    </row>
    <row r="73" customFormat="false" ht="15" hidden="false" customHeight="false" outlineLevel="0" collapsed="false">
      <c r="D73" s="15" t="str">
        <f aca="false">IF(OR(B73="",C73=""),"",B73-C73)</f>
        <v/>
      </c>
      <c r="E73" s="16" t="str">
        <f aca="false">IF(OR(B73="",C73=""),"",D73/C73)</f>
        <v/>
      </c>
    </row>
    <row r="74" customFormat="false" ht="15" hidden="false" customHeight="false" outlineLevel="0" collapsed="false">
      <c r="D74" s="15" t="str">
        <f aca="false">IF(OR(B74="",C74=""),"",B74-C74)</f>
        <v/>
      </c>
      <c r="E74" s="16" t="str">
        <f aca="false">IF(OR(B74="",C74=""),"",D74/C74)</f>
        <v/>
      </c>
    </row>
    <row r="75" customFormat="false" ht="15" hidden="false" customHeight="false" outlineLevel="0" collapsed="false">
      <c r="D75" s="15" t="str">
        <f aca="false">IF(OR(B75="",C75=""),"",B75-C75)</f>
        <v/>
      </c>
      <c r="E75" s="16" t="str">
        <f aca="false">IF(OR(B75="",C75=""),"",D75/C75)</f>
        <v/>
      </c>
    </row>
    <row r="76" customFormat="false" ht="15" hidden="false" customHeight="false" outlineLevel="0" collapsed="false">
      <c r="D76" s="15" t="str">
        <f aca="false">IF(OR(B76="",C76=""),"",B76-C76)</f>
        <v/>
      </c>
      <c r="E76" s="16" t="str">
        <f aca="false">IF(OR(B76="",C76=""),"",D76/C76)</f>
        <v/>
      </c>
    </row>
    <row r="77" customFormat="false" ht="15" hidden="false" customHeight="false" outlineLevel="0" collapsed="false">
      <c r="D77" s="15" t="str">
        <f aca="false">IF(OR(B77="",C77=""),"",B77-C77)</f>
        <v/>
      </c>
      <c r="E77" s="16" t="str">
        <f aca="false">IF(OR(B77="",C77=""),"",D77/C77)</f>
        <v/>
      </c>
    </row>
    <row r="78" customFormat="false" ht="15" hidden="false" customHeight="false" outlineLevel="0" collapsed="false">
      <c r="D78" s="15" t="str">
        <f aca="false">IF(OR(B78="",C78=""),"",B78-C78)</f>
        <v/>
      </c>
      <c r="E78" s="16" t="str">
        <f aca="false">IF(OR(B78="",C78=""),"",D78/C78)</f>
        <v/>
      </c>
    </row>
    <row r="79" customFormat="false" ht="15" hidden="false" customHeight="false" outlineLevel="0" collapsed="false">
      <c r="D79" s="15" t="str">
        <f aca="false">IF(OR(B79="",C79=""),"",B79-C79)</f>
        <v/>
      </c>
      <c r="E79" s="16" t="str">
        <f aca="false">IF(OR(B79="",C79=""),"",D79/C79)</f>
        <v/>
      </c>
    </row>
    <row r="80" customFormat="false" ht="15" hidden="false" customHeight="false" outlineLevel="0" collapsed="false">
      <c r="D80" s="15" t="str">
        <f aca="false">IF(OR(B80="",C80=""),"",B80-C80)</f>
        <v/>
      </c>
      <c r="E80" s="16" t="str">
        <f aca="false">IF(OR(B80="",C80=""),"",D80/C80)</f>
        <v/>
      </c>
    </row>
    <row r="81" customFormat="false" ht="15" hidden="false" customHeight="false" outlineLevel="0" collapsed="false">
      <c r="D81" s="15" t="str">
        <f aca="false">IF(OR(B81="",C81=""),"",B81-C81)</f>
        <v/>
      </c>
      <c r="E81" s="16" t="str">
        <f aca="false">IF(OR(B81="",C81=""),"",D81/C81)</f>
        <v/>
      </c>
    </row>
    <row r="82" customFormat="false" ht="15" hidden="false" customHeight="false" outlineLevel="0" collapsed="false">
      <c r="D82" s="15" t="str">
        <f aca="false">IF(OR(B82="",C82=""),"",B82-C82)</f>
        <v/>
      </c>
      <c r="E82" s="16" t="str">
        <f aca="false">IF(OR(B82="",C82=""),"",D82/C82)</f>
        <v/>
      </c>
    </row>
    <row r="83" customFormat="false" ht="15" hidden="false" customHeight="false" outlineLevel="0" collapsed="false">
      <c r="D83" s="15" t="str">
        <f aca="false">IF(OR(B83="",C83=""),"",B83-C83)</f>
        <v/>
      </c>
      <c r="E83" s="16" t="str">
        <f aca="false">IF(OR(B83="",C83=""),"",D83/C83)</f>
        <v/>
      </c>
    </row>
    <row r="84" customFormat="false" ht="15" hidden="false" customHeight="false" outlineLevel="0" collapsed="false">
      <c r="D84" s="15" t="str">
        <f aca="false">IF(OR(B84="",C84=""),"",B84-C84)</f>
        <v/>
      </c>
      <c r="E84" s="16" t="str">
        <f aca="false">IF(OR(B84="",C84=""),"",D84/C84)</f>
        <v/>
      </c>
    </row>
    <row r="85" customFormat="false" ht="15" hidden="false" customHeight="false" outlineLevel="0" collapsed="false">
      <c r="D85" s="15" t="str">
        <f aca="false">IF(OR(B85="",C85=""),"",B85-C85)</f>
        <v/>
      </c>
      <c r="E85" s="16" t="str">
        <f aca="false">IF(OR(B85="",C85=""),"",D85/C85)</f>
        <v/>
      </c>
    </row>
    <row r="86" customFormat="false" ht="15" hidden="false" customHeight="false" outlineLevel="0" collapsed="false">
      <c r="D86" s="15" t="str">
        <f aca="false">IF(OR(B86="",C86=""),"",B86-C86)</f>
        <v/>
      </c>
      <c r="E86" s="16" t="str">
        <f aca="false">IF(OR(B86="",C86=""),"",D86/C86)</f>
        <v/>
      </c>
    </row>
    <row r="87" customFormat="false" ht="15" hidden="false" customHeight="false" outlineLevel="0" collapsed="false">
      <c r="D87" s="15" t="str">
        <f aca="false">IF(OR(B87="",C87=""),"",B87-C87)</f>
        <v/>
      </c>
      <c r="E87" s="16" t="str">
        <f aca="false">IF(OR(B87="",C87=""),"",D87/C87)</f>
        <v/>
      </c>
    </row>
    <row r="88" customFormat="false" ht="15" hidden="false" customHeight="false" outlineLevel="0" collapsed="false">
      <c r="D88" s="15" t="str">
        <f aca="false">IF(OR(B88="",C88=""),"",B88-C88)</f>
        <v/>
      </c>
      <c r="E88" s="16" t="str">
        <f aca="false">IF(OR(B88="",C88=""),"",D88/C88)</f>
        <v/>
      </c>
    </row>
    <row r="89" customFormat="false" ht="15" hidden="false" customHeight="false" outlineLevel="0" collapsed="false">
      <c r="D89" s="15" t="str">
        <f aca="false">IF(OR(B89="",C89=""),"",B89-C89)</f>
        <v/>
      </c>
      <c r="E89" s="16" t="str">
        <f aca="false">IF(OR(B89="",C89=""),"",D89/C89)</f>
        <v/>
      </c>
    </row>
    <row r="90" customFormat="false" ht="15" hidden="false" customHeight="false" outlineLevel="0" collapsed="false">
      <c r="D90" s="15" t="str">
        <f aca="false">IF(OR(B90="",C90=""),"",B90-C90)</f>
        <v/>
      </c>
      <c r="E90" s="16" t="str">
        <f aca="false">IF(OR(B90="",C90=""),"",D90/C90)</f>
        <v/>
      </c>
    </row>
    <row r="91" customFormat="false" ht="15" hidden="false" customHeight="false" outlineLevel="0" collapsed="false">
      <c r="D91" s="15" t="str">
        <f aca="false">IF(OR(B91="",C91=""),"",B91-C91)</f>
        <v/>
      </c>
      <c r="E91" s="16" t="str">
        <f aca="false">IF(OR(B91="",C91=""),"",D91/C91)</f>
        <v/>
      </c>
    </row>
    <row r="92" customFormat="false" ht="15" hidden="false" customHeight="false" outlineLevel="0" collapsed="false">
      <c r="D92" s="15" t="str">
        <f aca="false">IF(OR(B92="",C92=""),"",B92-C92)</f>
        <v/>
      </c>
      <c r="E92" s="16" t="str">
        <f aca="false">IF(OR(B92="",C92=""),"",D92/C92)</f>
        <v/>
      </c>
    </row>
    <row r="93" customFormat="false" ht="15" hidden="false" customHeight="false" outlineLevel="0" collapsed="false">
      <c r="D93" s="15" t="str">
        <f aca="false">IF(OR(B93="",C93=""),"",B93-C93)</f>
        <v/>
      </c>
      <c r="E93" s="16" t="str">
        <f aca="false">IF(OR(B93="",C93=""),"",D93/C93)</f>
        <v/>
      </c>
    </row>
    <row r="94" customFormat="false" ht="15" hidden="false" customHeight="false" outlineLevel="0" collapsed="false">
      <c r="D94" s="15" t="str">
        <f aca="false">IF(OR(B94="",C94=""),"",B94-C94)</f>
        <v/>
      </c>
      <c r="E94" s="16" t="str">
        <f aca="false">IF(OR(B94="",C94=""),"",D94/C94)</f>
        <v/>
      </c>
    </row>
    <row r="95" customFormat="false" ht="15" hidden="false" customHeight="false" outlineLevel="0" collapsed="false">
      <c r="D95" s="15" t="str">
        <f aca="false">IF(OR(B95="",C95=""),"",B95-C95)</f>
        <v/>
      </c>
      <c r="E95" s="16" t="str">
        <f aca="false">IF(OR(B95="",C95=""),"",D95/C95)</f>
        <v/>
      </c>
    </row>
    <row r="96" customFormat="false" ht="15" hidden="false" customHeight="false" outlineLevel="0" collapsed="false">
      <c r="D96" s="15" t="str">
        <f aca="false">IF(OR(B96="",C96=""),"",B96-C96)</f>
        <v/>
      </c>
      <c r="E96" s="16" t="str">
        <f aca="false">IF(OR(B96="",C96=""),"",D96/C96)</f>
        <v/>
      </c>
    </row>
    <row r="97" customFormat="false" ht="15" hidden="false" customHeight="false" outlineLevel="0" collapsed="false">
      <c r="D97" s="15" t="str">
        <f aca="false">IF(OR(B97="",C97=""),"",B97-C97)</f>
        <v/>
      </c>
      <c r="E97" s="16" t="str">
        <f aca="false">IF(OR(B97="",C97=""),"",D97/C97)</f>
        <v/>
      </c>
    </row>
    <row r="98" customFormat="false" ht="15" hidden="false" customHeight="false" outlineLevel="0" collapsed="false">
      <c r="D98" s="15" t="str">
        <f aca="false">IF(OR(B98="",C98=""),"",B98-C98)</f>
        <v/>
      </c>
      <c r="E98" s="16" t="str">
        <f aca="false">IF(OR(B98="",C98=""),"",D98/C98)</f>
        <v/>
      </c>
    </row>
    <row r="99" customFormat="false" ht="15" hidden="false" customHeight="false" outlineLevel="0" collapsed="false">
      <c r="D99" s="15" t="str">
        <f aca="false">IF(OR(B99="",C99=""),"",B99-C99)</f>
        <v/>
      </c>
      <c r="E99" s="16" t="str">
        <f aca="false">IF(OR(B99="",C99=""),"",D99/C99)</f>
        <v/>
      </c>
    </row>
    <row r="100" customFormat="false" ht="15" hidden="false" customHeight="false" outlineLevel="0" collapsed="false">
      <c r="D100" s="15" t="str">
        <f aca="false">IF(OR(B100="",C100=""),"",B100-C100)</f>
        <v/>
      </c>
      <c r="E100" s="16" t="str">
        <f aca="false">IF(OR(B100="",C100=""),"",D100/C100)</f>
        <v/>
      </c>
    </row>
    <row r="101" customFormat="false" ht="15" hidden="false" customHeight="false" outlineLevel="0" collapsed="false">
      <c r="D101" s="15" t="str">
        <f aca="false">IF(OR(B101="",C101=""),"",B101-C101)</f>
        <v/>
      </c>
      <c r="E101" s="16" t="str">
        <f aca="false">IF(OR(B101="",C101=""),"",D101/C101)</f>
        <v/>
      </c>
    </row>
    <row r="102" customFormat="false" ht="15" hidden="false" customHeight="false" outlineLevel="0" collapsed="false">
      <c r="D102" s="15" t="str">
        <f aca="false">IF(OR(B102="",C102=""),"",B102-C102)</f>
        <v/>
      </c>
      <c r="E102" s="16" t="str">
        <f aca="false">IF(OR(B102="",C102=""),"",D102/C102)</f>
        <v/>
      </c>
    </row>
    <row r="103" customFormat="false" ht="15" hidden="false" customHeight="false" outlineLevel="0" collapsed="false">
      <c r="D103" s="15" t="str">
        <f aca="false">IF(OR(B103="",C103=""),"",B103-C103)</f>
        <v/>
      </c>
      <c r="E103" s="16" t="str">
        <f aca="false">IF(OR(B103="",C103=""),"",D103/C103)</f>
        <v/>
      </c>
    </row>
    <row r="104" customFormat="false" ht="15" hidden="false" customHeight="false" outlineLevel="0" collapsed="false">
      <c r="D104" s="15" t="str">
        <f aca="false">IF(OR(B104="",C104=""),"",B104-C104)</f>
        <v/>
      </c>
      <c r="E104" s="16" t="str">
        <f aca="false">IF(OR(B104="",C104=""),"",D104/C104)</f>
        <v/>
      </c>
    </row>
    <row r="105" customFormat="false" ht="15" hidden="false" customHeight="false" outlineLevel="0" collapsed="false">
      <c r="D105" s="15" t="str">
        <f aca="false">IF(OR(B105="",C105=""),"",B105-C105)</f>
        <v/>
      </c>
      <c r="E105" s="16" t="str">
        <f aca="false">IF(OR(B105="",C105=""),"",D105/C105)</f>
        <v/>
      </c>
    </row>
    <row r="106" customFormat="false" ht="15" hidden="false" customHeight="false" outlineLevel="0" collapsed="false">
      <c r="D106" s="15" t="str">
        <f aca="false">IF(OR(B106="",C106=""),"",B106-C106)</f>
        <v/>
      </c>
      <c r="E106" s="16" t="str">
        <f aca="false">IF(OR(B106="",C106=""),"",D106/C106)</f>
        <v/>
      </c>
    </row>
    <row r="107" customFormat="false" ht="15" hidden="false" customHeight="false" outlineLevel="0" collapsed="false">
      <c r="D107" s="15" t="str">
        <f aca="false">IF(OR(B107="",C107=""),"",B107-C107)</f>
        <v/>
      </c>
      <c r="E107" s="16" t="str">
        <f aca="false">IF(OR(B107="",C107=""),"",D107/C107)</f>
        <v/>
      </c>
    </row>
    <row r="108" customFormat="false" ht="15" hidden="false" customHeight="false" outlineLevel="0" collapsed="false">
      <c r="D108" s="15" t="str">
        <f aca="false">IF(OR(B108="",C108=""),"",B108-C108)</f>
        <v/>
      </c>
      <c r="E108" s="16" t="str">
        <f aca="false">IF(OR(B108="",C108=""),"",D108/C108)</f>
        <v/>
      </c>
    </row>
    <row r="109" customFormat="false" ht="15" hidden="false" customHeight="false" outlineLevel="0" collapsed="false">
      <c r="D109" s="15" t="str">
        <f aca="false">IF(OR(B109="",C109=""),"",B109-C109)</f>
        <v/>
      </c>
      <c r="E109" s="16" t="str">
        <f aca="false">IF(OR(B109="",C109=""),"",D109/C109)</f>
        <v/>
      </c>
    </row>
    <row r="110" customFormat="false" ht="15" hidden="false" customHeight="false" outlineLevel="0" collapsed="false">
      <c r="D110" s="15" t="str">
        <f aca="false">IF(OR(B110="",C110=""),"",B110-C110)</f>
        <v/>
      </c>
      <c r="E110" s="16" t="str">
        <f aca="false">IF(OR(B110="",C110=""),"",D110/C110)</f>
        <v/>
      </c>
    </row>
    <row r="111" customFormat="false" ht="15" hidden="false" customHeight="false" outlineLevel="0" collapsed="false">
      <c r="D111" s="15" t="str">
        <f aca="false">IF(OR(B111="",C111=""),"",B111-C111)</f>
        <v/>
      </c>
      <c r="E111" s="16" t="str">
        <f aca="false">IF(OR(B111="",C111=""),"",D111/C111)</f>
        <v/>
      </c>
    </row>
    <row r="112" customFormat="false" ht="15" hidden="false" customHeight="false" outlineLevel="0" collapsed="false">
      <c r="D112" s="15" t="str">
        <f aca="false">IF(OR(B112="",C112=""),"",B112-C112)</f>
        <v/>
      </c>
      <c r="E112" s="16" t="str">
        <f aca="false">IF(OR(B112="",C112=""),"",D112/C112)</f>
        <v/>
      </c>
    </row>
    <row r="113" customFormat="false" ht="15" hidden="false" customHeight="false" outlineLevel="0" collapsed="false">
      <c r="D113" s="15" t="str">
        <f aca="false">IF(OR(B113="",C113=""),"",B113-C113)</f>
        <v/>
      </c>
      <c r="E113" s="16" t="str">
        <f aca="false">IF(OR(B113="",C113=""),"",D113/C113)</f>
        <v/>
      </c>
    </row>
    <row r="114" customFormat="false" ht="15" hidden="false" customHeight="false" outlineLevel="0" collapsed="false">
      <c r="D114" s="15" t="str">
        <f aca="false">IF(OR(B114="",C114=""),"",B114-C114)</f>
        <v/>
      </c>
      <c r="E114" s="16" t="str">
        <f aca="false">IF(OR(B114="",C114=""),"",D114/C114)</f>
        <v/>
      </c>
    </row>
    <row r="115" customFormat="false" ht="15" hidden="false" customHeight="false" outlineLevel="0" collapsed="false">
      <c r="D115" s="15" t="str">
        <f aca="false">IF(OR(B115="",C115=""),"",B115-C115)</f>
        <v/>
      </c>
      <c r="E115" s="16" t="str">
        <f aca="false">IF(OR(B115="",C115=""),"",D115/C115)</f>
        <v/>
      </c>
    </row>
    <row r="116" customFormat="false" ht="15" hidden="false" customHeight="false" outlineLevel="0" collapsed="false">
      <c r="D116" s="15" t="str">
        <f aca="false">IF(OR(B116="",C116=""),"",B116-C116)</f>
        <v/>
      </c>
      <c r="E116" s="16" t="str">
        <f aca="false">IF(OR(B116="",C116=""),"",D116/C116)</f>
        <v/>
      </c>
    </row>
    <row r="117" customFormat="false" ht="15" hidden="false" customHeight="false" outlineLevel="0" collapsed="false">
      <c r="D117" s="15" t="str">
        <f aca="false">IF(OR(B117="",C117=""),"",B117-C117)</f>
        <v/>
      </c>
      <c r="E117" s="16" t="str">
        <f aca="false">IF(OR(B117="",C117=""),"",D117/C117)</f>
        <v/>
      </c>
    </row>
    <row r="118" customFormat="false" ht="15" hidden="false" customHeight="false" outlineLevel="0" collapsed="false">
      <c r="D118" s="15" t="str">
        <f aca="false">IF(OR(B118="",C118=""),"",B118-C118)</f>
        <v/>
      </c>
      <c r="E118" s="16" t="str">
        <f aca="false">IF(OR(B118="",C118=""),"",D118/C118)</f>
        <v/>
      </c>
    </row>
    <row r="119" customFormat="false" ht="15" hidden="false" customHeight="false" outlineLevel="0" collapsed="false">
      <c r="D119" s="15" t="str">
        <f aca="false">IF(OR(B119="",C119=""),"",B119-C119)</f>
        <v/>
      </c>
      <c r="E119" s="16" t="str">
        <f aca="false">IF(OR(B119="",C119=""),"",D119/C119)</f>
        <v/>
      </c>
    </row>
    <row r="120" customFormat="false" ht="15" hidden="false" customHeight="false" outlineLevel="0" collapsed="false">
      <c r="D120" s="15" t="str">
        <f aca="false">IF(OR(B120="",C120=""),"",B120-C120)</f>
        <v/>
      </c>
      <c r="E120" s="16" t="str">
        <f aca="false">IF(OR(B120="",C120=""),"",D120/C120)</f>
        <v/>
      </c>
    </row>
    <row r="121" customFormat="false" ht="15" hidden="false" customHeight="false" outlineLevel="0" collapsed="false">
      <c r="D121" s="15" t="str">
        <f aca="false">IF(OR(B121="",C121=""),"",B121-C121)</f>
        <v/>
      </c>
      <c r="E121" s="16" t="str">
        <f aca="false">IF(OR(B121="",C121=""),"",D121/C121)</f>
        <v/>
      </c>
    </row>
    <row r="122" customFormat="false" ht="15" hidden="false" customHeight="false" outlineLevel="0" collapsed="false">
      <c r="D122" s="15" t="str">
        <f aca="false">IF(OR(B122="",C122=""),"",B122-C122)</f>
        <v/>
      </c>
      <c r="E122" s="16" t="str">
        <f aca="false">IF(OR(B122="",C122=""),"",D122/C122)</f>
        <v/>
      </c>
    </row>
    <row r="123" customFormat="false" ht="15" hidden="false" customHeight="false" outlineLevel="0" collapsed="false">
      <c r="D123" s="15" t="str">
        <f aca="false">IF(OR(B123="",C123=""),"",B123-C123)</f>
        <v/>
      </c>
      <c r="E123" s="16" t="str">
        <f aca="false">IF(OR(B123="",C123=""),"",D123/C123)</f>
        <v/>
      </c>
    </row>
    <row r="124" customFormat="false" ht="15" hidden="false" customHeight="false" outlineLevel="0" collapsed="false">
      <c r="D124" s="15" t="str">
        <f aca="false">IF(OR(B124="",C124=""),"",B124-C124)</f>
        <v/>
      </c>
      <c r="E124" s="16" t="str">
        <f aca="false">IF(OR(B124="",C124=""),"",D124/C124)</f>
        <v/>
      </c>
    </row>
    <row r="125" customFormat="false" ht="15" hidden="false" customHeight="false" outlineLevel="0" collapsed="false">
      <c r="D125" s="15" t="str">
        <f aca="false">IF(OR(B125="",C125=""),"",B125-C125)</f>
        <v/>
      </c>
      <c r="E125" s="16" t="str">
        <f aca="false">IF(OR(B125="",C125=""),"",D125/C125)</f>
        <v/>
      </c>
    </row>
    <row r="126" customFormat="false" ht="15" hidden="false" customHeight="false" outlineLevel="0" collapsed="false">
      <c r="D126" s="15" t="str">
        <f aca="false">IF(OR(B126="",C126=""),"",B126-C126)</f>
        <v/>
      </c>
      <c r="E126" s="16" t="str">
        <f aca="false">IF(OR(B126="",C126=""),"",D126/C126)</f>
        <v/>
      </c>
    </row>
    <row r="127" customFormat="false" ht="15" hidden="false" customHeight="false" outlineLevel="0" collapsed="false">
      <c r="D127" s="15" t="str">
        <f aca="false">IF(OR(B127="",C127=""),"",B127-C127)</f>
        <v/>
      </c>
      <c r="E127" s="16" t="str">
        <f aca="false">IF(OR(B127="",C127=""),"",D127/C127)</f>
        <v/>
      </c>
    </row>
    <row r="128" customFormat="false" ht="15" hidden="false" customHeight="false" outlineLevel="0" collapsed="false">
      <c r="D128" s="15" t="str">
        <f aca="false">IF(OR(B128="",C128=""),"",B128-C128)</f>
        <v/>
      </c>
      <c r="E128" s="16" t="str">
        <f aca="false">IF(OR(B128="",C128=""),"",D128/C128)</f>
        <v/>
      </c>
    </row>
    <row r="129" customFormat="false" ht="15" hidden="false" customHeight="false" outlineLevel="0" collapsed="false">
      <c r="D129" s="15" t="str">
        <f aca="false">IF(OR(B129="",C129=""),"",B129-C129)</f>
        <v/>
      </c>
      <c r="E129" s="16" t="str">
        <f aca="false">IF(OR(B129="",C129=""),"",D129/C129)</f>
        <v/>
      </c>
    </row>
    <row r="130" customFormat="false" ht="15" hidden="false" customHeight="false" outlineLevel="0" collapsed="false">
      <c r="D130" s="15" t="str">
        <f aca="false">IF(OR(B130="",C130=""),"",B130-C130)</f>
        <v/>
      </c>
      <c r="E130" s="16" t="str">
        <f aca="false">IF(OR(B130="",C130=""),"",D130/C130)</f>
        <v/>
      </c>
    </row>
    <row r="131" customFormat="false" ht="15" hidden="false" customHeight="false" outlineLevel="0" collapsed="false">
      <c r="D131" s="15" t="str">
        <f aca="false">IF(OR(B131="",C131=""),"",B131-C131)</f>
        <v/>
      </c>
      <c r="E131" s="16" t="str">
        <f aca="false">IF(OR(B131="",C131=""),"",D131/C131)</f>
        <v/>
      </c>
    </row>
    <row r="132" customFormat="false" ht="15" hidden="false" customHeight="false" outlineLevel="0" collapsed="false">
      <c r="D132" s="15" t="str">
        <f aca="false">IF(OR(B132="",C132=""),"",B132-C132)</f>
        <v/>
      </c>
      <c r="E132" s="16" t="str">
        <f aca="false">IF(OR(B132="",C132=""),"",D132/C132)</f>
        <v/>
      </c>
    </row>
    <row r="133" customFormat="false" ht="15" hidden="false" customHeight="false" outlineLevel="0" collapsed="false">
      <c r="D133" s="15" t="str">
        <f aca="false">IF(OR(B133="",C133=""),"",B133-C133)</f>
        <v/>
      </c>
      <c r="E133" s="16" t="str">
        <f aca="false">IF(OR(B133="",C133=""),"",D133/C133)</f>
        <v/>
      </c>
    </row>
    <row r="134" customFormat="false" ht="15" hidden="false" customHeight="false" outlineLevel="0" collapsed="false">
      <c r="D134" s="15" t="str">
        <f aca="false">IF(OR(B134="",C134=""),"",B134-C134)</f>
        <v/>
      </c>
      <c r="E134" s="16" t="str">
        <f aca="false">IF(OR(B134="",C134=""),"",D134/C134)</f>
        <v/>
      </c>
    </row>
    <row r="135" customFormat="false" ht="15" hidden="false" customHeight="false" outlineLevel="0" collapsed="false">
      <c r="D135" s="15" t="str">
        <f aca="false">IF(OR(B135="",C135=""),"",B135-C135)</f>
        <v/>
      </c>
      <c r="E135" s="16" t="str">
        <f aca="false">IF(OR(B135="",C135=""),"",D135/C135)</f>
        <v/>
      </c>
    </row>
    <row r="136" customFormat="false" ht="15" hidden="false" customHeight="false" outlineLevel="0" collapsed="false">
      <c r="D136" s="15" t="str">
        <f aca="false">IF(OR(B136="",C136=""),"",B136-C136)</f>
        <v/>
      </c>
      <c r="E136" s="16" t="str">
        <f aca="false">IF(OR(B136="",C136=""),"",D136/C136)</f>
        <v/>
      </c>
    </row>
    <row r="137" customFormat="false" ht="15" hidden="false" customHeight="false" outlineLevel="0" collapsed="false">
      <c r="D137" s="15" t="str">
        <f aca="false">IF(OR(B137="",C137=""),"",B137-C137)</f>
        <v/>
      </c>
      <c r="E137" s="16" t="str">
        <f aca="false">IF(OR(B137="",C137=""),"",D137/C137)</f>
        <v/>
      </c>
    </row>
    <row r="138" customFormat="false" ht="15" hidden="false" customHeight="false" outlineLevel="0" collapsed="false">
      <c r="D138" s="15" t="str">
        <f aca="false">IF(OR(B138="",C138=""),"",B138-C138)</f>
        <v/>
      </c>
      <c r="E138" s="16" t="str">
        <f aca="false">IF(OR(B138="",C138=""),"",D138/C138)</f>
        <v/>
      </c>
    </row>
    <row r="139" customFormat="false" ht="15" hidden="false" customHeight="false" outlineLevel="0" collapsed="false">
      <c r="D139" s="15" t="str">
        <f aca="false">IF(OR(B139="",C139=""),"",B139-C139)</f>
        <v/>
      </c>
      <c r="E139" s="16" t="str">
        <f aca="false">IF(OR(B139="",C139=""),"",D139/C139)</f>
        <v/>
      </c>
    </row>
    <row r="140" customFormat="false" ht="15" hidden="false" customHeight="false" outlineLevel="0" collapsed="false">
      <c r="D140" s="15" t="str">
        <f aca="false">IF(OR(B140="",C140=""),"",B140-C140)</f>
        <v/>
      </c>
      <c r="E140" s="16" t="str">
        <f aca="false">IF(OR(B140="",C140=""),"",D140/C140)</f>
        <v/>
      </c>
    </row>
    <row r="141" customFormat="false" ht="15" hidden="false" customHeight="false" outlineLevel="0" collapsed="false">
      <c r="D141" s="15" t="str">
        <f aca="false">IF(OR(B141="",C141=""),"",B141-C141)</f>
        <v/>
      </c>
      <c r="E141" s="16" t="str">
        <f aca="false">IF(OR(B141="",C141=""),"",D141/C141)</f>
        <v/>
      </c>
    </row>
    <row r="142" customFormat="false" ht="15" hidden="false" customHeight="false" outlineLevel="0" collapsed="false">
      <c r="D142" s="15" t="str">
        <f aca="false">IF(OR(B142="",C142=""),"",B142-C142)</f>
        <v/>
      </c>
      <c r="E142" s="16" t="str">
        <f aca="false">IF(OR(B142="",C142=""),"",D142/C142)</f>
        <v/>
      </c>
    </row>
    <row r="143" customFormat="false" ht="15" hidden="false" customHeight="false" outlineLevel="0" collapsed="false">
      <c r="D143" s="15" t="str">
        <f aca="false">IF(OR(B143="",C143=""),"",B143-C143)</f>
        <v/>
      </c>
      <c r="E143" s="16" t="str">
        <f aca="false">IF(OR(B143="",C143=""),"",D143/C143)</f>
        <v/>
      </c>
    </row>
    <row r="144" customFormat="false" ht="15" hidden="false" customHeight="false" outlineLevel="0" collapsed="false">
      <c r="D144" s="15" t="str">
        <f aca="false">IF(OR(B144="",C144=""),"",B144-C144)</f>
        <v/>
      </c>
      <c r="E144" s="16" t="str">
        <f aca="false">IF(OR(B144="",C144=""),"",D144/C144)</f>
        <v/>
      </c>
    </row>
    <row r="145" customFormat="false" ht="15" hidden="false" customHeight="false" outlineLevel="0" collapsed="false">
      <c r="D145" s="15" t="str">
        <f aca="false">IF(OR(B145="",C145=""),"",B145-C145)</f>
        <v/>
      </c>
      <c r="E145" s="16" t="str">
        <f aca="false">IF(OR(B145="",C145=""),"",D145/C145)</f>
        <v/>
      </c>
    </row>
    <row r="146" customFormat="false" ht="15" hidden="false" customHeight="false" outlineLevel="0" collapsed="false">
      <c r="D146" s="15" t="str">
        <f aca="false">IF(OR(B146="",C146=""),"",B146-C146)</f>
        <v/>
      </c>
      <c r="E146" s="16" t="str">
        <f aca="false">IF(OR(B146="",C146=""),"",D146/C146)</f>
        <v/>
      </c>
    </row>
    <row r="147" customFormat="false" ht="15" hidden="false" customHeight="false" outlineLevel="0" collapsed="false">
      <c r="D147" s="15" t="str">
        <f aca="false">IF(OR(B147="",C147=""),"",B147-C147)</f>
        <v/>
      </c>
      <c r="E147" s="16" t="str">
        <f aca="false">IF(OR(B147="",C147=""),"",D147/C147)</f>
        <v/>
      </c>
    </row>
    <row r="148" customFormat="false" ht="15" hidden="false" customHeight="false" outlineLevel="0" collapsed="false">
      <c r="D148" s="15" t="str">
        <f aca="false">IF(OR(B148="",C148=""),"",B148-C148)</f>
        <v/>
      </c>
      <c r="E148" s="16" t="str">
        <f aca="false">IF(OR(B148="",C148=""),"",D148/C148)</f>
        <v/>
      </c>
    </row>
    <row r="149" customFormat="false" ht="15" hidden="false" customHeight="false" outlineLevel="0" collapsed="false">
      <c r="D149" s="15" t="str">
        <f aca="false">IF(OR(B149="",C149=""),"",B149-C149)</f>
        <v/>
      </c>
      <c r="E149" s="16" t="str">
        <f aca="false">IF(OR(B149="",C149=""),"",D149/C149)</f>
        <v/>
      </c>
    </row>
    <row r="150" customFormat="false" ht="15" hidden="false" customHeight="false" outlineLevel="0" collapsed="false">
      <c r="D150" s="15" t="str">
        <f aca="false">IF(OR(B150="",C150=""),"",B150-C150)</f>
        <v/>
      </c>
      <c r="E150" s="16" t="str">
        <f aca="false">IF(OR(B150="",C150=""),"",D150/C150)</f>
        <v/>
      </c>
    </row>
    <row r="151" customFormat="false" ht="15" hidden="false" customHeight="false" outlineLevel="0" collapsed="false">
      <c r="D151" s="15" t="str">
        <f aca="false">IF(OR(B151="",C151=""),"",B151-C151)</f>
        <v/>
      </c>
      <c r="E151" s="16" t="str">
        <f aca="false">IF(OR(B151="",C151=""),"",D151/C151)</f>
        <v/>
      </c>
    </row>
    <row r="152" customFormat="false" ht="15" hidden="false" customHeight="false" outlineLevel="0" collapsed="false">
      <c r="D152" s="15" t="str">
        <f aca="false">IF(OR(B152="",C152=""),"",B152-C152)</f>
        <v/>
      </c>
      <c r="E152" s="16" t="str">
        <f aca="false">IF(OR(B152="",C152=""),"",D152/C152)</f>
        <v/>
      </c>
    </row>
    <row r="153" customFormat="false" ht="15" hidden="false" customHeight="false" outlineLevel="0" collapsed="false">
      <c r="D153" s="15" t="str">
        <f aca="false">IF(OR(B153="",C153=""),"",B153-C153)</f>
        <v/>
      </c>
      <c r="E153" s="16" t="str">
        <f aca="false">IF(OR(B153="",C153=""),"",D153/C153)</f>
        <v/>
      </c>
    </row>
    <row r="154" customFormat="false" ht="15" hidden="false" customHeight="false" outlineLevel="0" collapsed="false">
      <c r="D154" s="15" t="str">
        <f aca="false">IF(OR(B154="",C154=""),"",B154-C154)</f>
        <v/>
      </c>
      <c r="E154" s="16" t="str">
        <f aca="false">IF(OR(B154="",C154=""),"",D154/C154)</f>
        <v/>
      </c>
    </row>
    <row r="155" customFormat="false" ht="15" hidden="false" customHeight="false" outlineLevel="0" collapsed="false">
      <c r="D155" s="15" t="str">
        <f aca="false">IF(OR(B155="",C155=""),"",B155-C155)</f>
        <v/>
      </c>
      <c r="E155" s="16" t="str">
        <f aca="false">IF(OR(B155="",C155=""),"",D155/C155)</f>
        <v/>
      </c>
    </row>
    <row r="156" customFormat="false" ht="15" hidden="false" customHeight="false" outlineLevel="0" collapsed="false">
      <c r="D156" s="15" t="str">
        <f aca="false">IF(OR(B156="",C156=""),"",B156-C156)</f>
        <v/>
      </c>
      <c r="E156" s="16" t="str">
        <f aca="false">IF(OR(B156="",C156=""),"",D156/C156)</f>
        <v/>
      </c>
    </row>
    <row r="157" customFormat="false" ht="15" hidden="false" customHeight="false" outlineLevel="0" collapsed="false">
      <c r="D157" s="15" t="str">
        <f aca="false">IF(OR(B157="",C157=""),"",B157-C157)</f>
        <v/>
      </c>
      <c r="E157" s="16" t="str">
        <f aca="false">IF(OR(B157="",C157=""),"",D157/C157)</f>
        <v/>
      </c>
    </row>
    <row r="158" customFormat="false" ht="15" hidden="false" customHeight="false" outlineLevel="0" collapsed="false">
      <c r="D158" s="15" t="str">
        <f aca="false">IF(OR(B158="",C158=""),"",B158-C158)</f>
        <v/>
      </c>
      <c r="E158" s="16" t="str">
        <f aca="false">IF(OR(B158="",C158=""),"",D158/C158)</f>
        <v/>
      </c>
    </row>
    <row r="159" customFormat="false" ht="15" hidden="false" customHeight="false" outlineLevel="0" collapsed="false">
      <c r="D159" s="15" t="str">
        <f aca="false">IF(OR(B159="",C159=""),"",B159-C159)</f>
        <v/>
      </c>
      <c r="E159" s="16" t="str">
        <f aca="false">IF(OR(B159="",C159=""),"",D159/C159)</f>
        <v/>
      </c>
    </row>
    <row r="160" customFormat="false" ht="15" hidden="false" customHeight="false" outlineLevel="0" collapsed="false">
      <c r="D160" s="15" t="str">
        <f aca="false">IF(OR(B160="",C160=""),"",B160-C160)</f>
        <v/>
      </c>
      <c r="E160" s="16" t="str">
        <f aca="false">IF(OR(B160="",C160=""),"",D160/C160)</f>
        <v/>
      </c>
    </row>
    <row r="161" customFormat="false" ht="15" hidden="false" customHeight="false" outlineLevel="0" collapsed="false">
      <c r="D161" s="15" t="str">
        <f aca="false">IF(OR(B161="",C161=""),"",B161-C161)</f>
        <v/>
      </c>
      <c r="E161" s="16" t="str">
        <f aca="false">IF(OR(B161="",C161=""),"",D161/C161)</f>
        <v/>
      </c>
    </row>
    <row r="162" customFormat="false" ht="15" hidden="false" customHeight="false" outlineLevel="0" collapsed="false">
      <c r="D162" s="15" t="str">
        <f aca="false">IF(OR(B162="",C162=""),"",B162-C162)</f>
        <v/>
      </c>
      <c r="E162" s="16" t="str">
        <f aca="false">IF(OR(B162="",C162=""),"",D162/C162)</f>
        <v/>
      </c>
    </row>
    <row r="163" customFormat="false" ht="15" hidden="false" customHeight="false" outlineLevel="0" collapsed="false">
      <c r="D163" s="15" t="str">
        <f aca="false">IF(OR(B163="",C163=""),"",B163-C163)</f>
        <v/>
      </c>
      <c r="E163" s="16" t="str">
        <f aca="false">IF(OR(B163="",C163=""),"",D163/C163)</f>
        <v/>
      </c>
    </row>
    <row r="164" customFormat="false" ht="15" hidden="false" customHeight="false" outlineLevel="0" collapsed="false">
      <c r="D164" s="15" t="str">
        <f aca="false">IF(OR(B164="",C164=""),"",B164-C164)</f>
        <v/>
      </c>
      <c r="E164" s="16" t="str">
        <f aca="false">IF(OR(B164="",C164=""),"",D164/C164)</f>
        <v/>
      </c>
    </row>
    <row r="165" customFormat="false" ht="15" hidden="false" customHeight="false" outlineLevel="0" collapsed="false">
      <c r="D165" s="15" t="str">
        <f aca="false">IF(OR(B165="",C165=""),"",B165-C165)</f>
        <v/>
      </c>
      <c r="E165" s="16" t="str">
        <f aca="false">IF(OR(B165="",C165=""),"",D165/C165)</f>
        <v/>
      </c>
    </row>
    <row r="166" customFormat="false" ht="15" hidden="false" customHeight="false" outlineLevel="0" collapsed="false">
      <c r="D166" s="15" t="str">
        <f aca="false">IF(OR(B166="",C166=""),"",B166-C166)</f>
        <v/>
      </c>
      <c r="E166" s="16" t="str">
        <f aca="false">IF(OR(B166="",C166=""),"",D166/C166)</f>
        <v/>
      </c>
    </row>
    <row r="167" customFormat="false" ht="15" hidden="false" customHeight="false" outlineLevel="0" collapsed="false">
      <c r="D167" s="15" t="str">
        <f aca="false">IF(OR(B167="",C167=""),"",B167-C167)</f>
        <v/>
      </c>
      <c r="E167" s="16" t="str">
        <f aca="false">IF(OR(B167="",C167=""),"",D167/C167)</f>
        <v/>
      </c>
    </row>
    <row r="168" customFormat="false" ht="15" hidden="false" customHeight="false" outlineLevel="0" collapsed="false">
      <c r="D168" s="15" t="str">
        <f aca="false">IF(OR(B168="",C168=""),"",B168-C168)</f>
        <v/>
      </c>
      <c r="E168" s="16" t="str">
        <f aca="false">IF(OR(B168="",C168=""),"",D168/C168)</f>
        <v/>
      </c>
    </row>
    <row r="169" customFormat="false" ht="15" hidden="false" customHeight="false" outlineLevel="0" collapsed="false">
      <c r="D169" s="15" t="str">
        <f aca="false">IF(OR(B169="",C169=""),"",B169-C169)</f>
        <v/>
      </c>
      <c r="E169" s="16" t="str">
        <f aca="false">IF(OR(B169="",C169=""),"",D169/C169)</f>
        <v/>
      </c>
    </row>
    <row r="170" customFormat="false" ht="15" hidden="false" customHeight="false" outlineLevel="0" collapsed="false">
      <c r="D170" s="15" t="str">
        <f aca="false">IF(OR(B170="",C170=""),"",B170-C170)</f>
        <v/>
      </c>
      <c r="E170" s="16" t="str">
        <f aca="false">IF(OR(B170="",C170=""),"",D170/C170)</f>
        <v/>
      </c>
    </row>
    <row r="171" customFormat="false" ht="15" hidden="false" customHeight="false" outlineLevel="0" collapsed="false">
      <c r="D171" s="15" t="str">
        <f aca="false">IF(OR(B171="",C171=""),"",B171-C171)</f>
        <v/>
      </c>
      <c r="E171" s="16" t="str">
        <f aca="false">IF(OR(B171="",C171=""),"",D171/C171)</f>
        <v/>
      </c>
    </row>
    <row r="172" customFormat="false" ht="15" hidden="false" customHeight="false" outlineLevel="0" collapsed="false">
      <c r="D172" s="15" t="str">
        <f aca="false">IF(OR(B172="",C172=""),"",B172-C172)</f>
        <v/>
      </c>
      <c r="E172" s="16" t="str">
        <f aca="false">IF(OR(B172="",C172=""),"",D172/C172)</f>
        <v/>
      </c>
    </row>
    <row r="173" customFormat="false" ht="15" hidden="false" customHeight="false" outlineLevel="0" collapsed="false">
      <c r="D173" s="15" t="str">
        <f aca="false">IF(OR(B173="",C173=""),"",B173-C173)</f>
        <v/>
      </c>
      <c r="E173" s="16" t="str">
        <f aca="false">IF(OR(B173="",C173=""),"",D173/C173)</f>
        <v/>
      </c>
    </row>
    <row r="174" customFormat="false" ht="15" hidden="false" customHeight="false" outlineLevel="0" collapsed="false">
      <c r="D174" s="15" t="str">
        <f aca="false">IF(OR(B174="",C174=""),"",B174-C174)</f>
        <v/>
      </c>
      <c r="E174" s="16" t="str">
        <f aca="false">IF(OR(B174="",C174=""),"",D174/C174)</f>
        <v/>
      </c>
    </row>
    <row r="175" customFormat="false" ht="15" hidden="false" customHeight="false" outlineLevel="0" collapsed="false">
      <c r="D175" s="15" t="str">
        <f aca="false">IF(OR(B175="",C175=""),"",B175-C175)</f>
        <v/>
      </c>
      <c r="E175" s="16" t="str">
        <f aca="false">IF(OR(B175="",C175=""),"",D175/C175)</f>
        <v/>
      </c>
    </row>
    <row r="176" customFormat="false" ht="15" hidden="false" customHeight="false" outlineLevel="0" collapsed="false">
      <c r="D176" s="15" t="str">
        <f aca="false">IF(OR(B176="",C176=""),"",B176-C176)</f>
        <v/>
      </c>
      <c r="E176" s="16" t="str">
        <f aca="false">IF(OR(B176="",C176=""),"",D176/C176)</f>
        <v/>
      </c>
    </row>
    <row r="177" customFormat="false" ht="15" hidden="false" customHeight="false" outlineLevel="0" collapsed="false">
      <c r="D177" s="15" t="str">
        <f aca="false">IF(OR(B177="",C177=""),"",B177-C177)</f>
        <v/>
      </c>
      <c r="E177" s="16" t="str">
        <f aca="false">IF(OR(B177="",C177=""),"",D177/C177)</f>
        <v/>
      </c>
    </row>
    <row r="178" customFormat="false" ht="15" hidden="false" customHeight="false" outlineLevel="0" collapsed="false">
      <c r="D178" s="15" t="str">
        <f aca="false">IF(OR(B178="",C178=""),"",B178-C178)</f>
        <v/>
      </c>
      <c r="E178" s="16" t="str">
        <f aca="false">IF(OR(B178="",C178=""),"",D178/C178)</f>
        <v/>
      </c>
    </row>
    <row r="179" customFormat="false" ht="15" hidden="false" customHeight="false" outlineLevel="0" collapsed="false">
      <c r="D179" s="15" t="str">
        <f aca="false">IF(OR(B179="",C179=""),"",B179-C179)</f>
        <v/>
      </c>
      <c r="E179" s="16" t="str">
        <f aca="false">IF(OR(B179="",C179=""),"",D179/C179)</f>
        <v/>
      </c>
    </row>
    <row r="180" customFormat="false" ht="15" hidden="false" customHeight="false" outlineLevel="0" collapsed="false">
      <c r="D180" s="15" t="str">
        <f aca="false">IF(OR(B180="",C180=""),"",B180-C180)</f>
        <v/>
      </c>
      <c r="E180" s="16" t="str">
        <f aca="false">IF(OR(B180="",C180=""),"",D180/C180)</f>
        <v/>
      </c>
    </row>
    <row r="181" customFormat="false" ht="15" hidden="false" customHeight="false" outlineLevel="0" collapsed="false">
      <c r="D181" s="15" t="str">
        <f aca="false">IF(OR(B181="",C181=""),"",B181-C181)</f>
        <v/>
      </c>
      <c r="E181" s="16" t="str">
        <f aca="false">IF(OR(B181="",C181=""),"",D181/C181)</f>
        <v/>
      </c>
    </row>
    <row r="182" customFormat="false" ht="15" hidden="false" customHeight="false" outlineLevel="0" collapsed="false">
      <c r="D182" s="15" t="str">
        <f aca="false">IF(OR(B182="",C182=""),"",B182-C182)</f>
        <v/>
      </c>
      <c r="E182" s="16" t="str">
        <f aca="false">IF(OR(B182="",C182=""),"",D182/C182)</f>
        <v/>
      </c>
    </row>
    <row r="183" customFormat="false" ht="15" hidden="false" customHeight="false" outlineLevel="0" collapsed="false">
      <c r="D183" s="15" t="str">
        <f aca="false">IF(OR(B183="",C183=""),"",B183-C183)</f>
        <v/>
      </c>
      <c r="E183" s="16" t="str">
        <f aca="false">IF(OR(B183="",C183=""),"",D183/C183)</f>
        <v/>
      </c>
    </row>
    <row r="184" customFormat="false" ht="15" hidden="false" customHeight="false" outlineLevel="0" collapsed="false">
      <c r="D184" s="15" t="str">
        <f aca="false">IF(OR(B184="",C184=""),"",B184-C184)</f>
        <v/>
      </c>
      <c r="E184" s="16" t="str">
        <f aca="false">IF(OR(B184="",C184=""),"",D184/C184)</f>
        <v/>
      </c>
    </row>
    <row r="185" customFormat="false" ht="15" hidden="false" customHeight="false" outlineLevel="0" collapsed="false">
      <c r="D185" s="15" t="str">
        <f aca="false">IF(OR(B185="",C185=""),"",B185-C185)</f>
        <v/>
      </c>
      <c r="E185" s="16" t="str">
        <f aca="false">IF(OR(B185="",C185=""),"",D185/C185)</f>
        <v/>
      </c>
    </row>
    <row r="186" customFormat="false" ht="15" hidden="false" customHeight="false" outlineLevel="0" collapsed="false">
      <c r="D186" s="15" t="str">
        <f aca="false">IF(OR(B186="",C186=""),"",B186-C186)</f>
        <v/>
      </c>
      <c r="E186" s="16" t="str">
        <f aca="false">IF(OR(B186="",C186=""),"",D186/C186)</f>
        <v/>
      </c>
    </row>
    <row r="187" customFormat="false" ht="15" hidden="false" customHeight="false" outlineLevel="0" collapsed="false">
      <c r="D187" s="15" t="str">
        <f aca="false">IF(OR(B187="",C187=""),"",B187-C187)</f>
        <v/>
      </c>
      <c r="E187" s="16" t="str">
        <f aca="false">IF(OR(B187="",C187=""),"",D187/C187)</f>
        <v/>
      </c>
    </row>
    <row r="188" customFormat="false" ht="15" hidden="false" customHeight="false" outlineLevel="0" collapsed="false">
      <c r="D188" s="15" t="str">
        <f aca="false">IF(OR(B188="",C188=""),"",B188-C188)</f>
        <v/>
      </c>
      <c r="E188" s="16" t="str">
        <f aca="false">IF(OR(B188="",C188=""),"",D188/C188)</f>
        <v/>
      </c>
    </row>
    <row r="189" customFormat="false" ht="15" hidden="false" customHeight="false" outlineLevel="0" collapsed="false">
      <c r="D189" s="15" t="str">
        <f aca="false">IF(OR(B189="",C189=""),"",B189-C189)</f>
        <v/>
      </c>
      <c r="E189" s="16" t="str">
        <f aca="false">IF(OR(B189="",C189=""),"",D189/C189)</f>
        <v/>
      </c>
    </row>
    <row r="190" customFormat="false" ht="15" hidden="false" customHeight="false" outlineLevel="0" collapsed="false">
      <c r="D190" s="15" t="str">
        <f aca="false">IF(OR(B190="",C190=""),"",B190-C190)</f>
        <v/>
      </c>
      <c r="E190" s="16" t="str">
        <f aca="false">IF(OR(B190="",C190=""),"",D190/C190)</f>
        <v/>
      </c>
    </row>
    <row r="191" customFormat="false" ht="15" hidden="false" customHeight="false" outlineLevel="0" collapsed="false">
      <c r="D191" s="15" t="str">
        <f aca="false">IF(OR(B191="",C191=""),"",B191-C191)</f>
        <v/>
      </c>
      <c r="E191" s="16" t="str">
        <f aca="false">IF(OR(B191="",C191=""),"",D191/C191)</f>
        <v/>
      </c>
    </row>
    <row r="192" customFormat="false" ht="15" hidden="false" customHeight="false" outlineLevel="0" collapsed="false">
      <c r="D192" s="15" t="str">
        <f aca="false">IF(OR(B192="",C192=""),"",B192-C192)</f>
        <v/>
      </c>
      <c r="E192" s="16" t="str">
        <f aca="false">IF(OR(B192="",C192=""),"",D192/C192)</f>
        <v/>
      </c>
    </row>
    <row r="193" customFormat="false" ht="15" hidden="false" customHeight="false" outlineLevel="0" collapsed="false">
      <c r="D193" s="15" t="str">
        <f aca="false">IF(OR(B193="",C193=""),"",B193-C193)</f>
        <v/>
      </c>
      <c r="E193" s="16" t="str">
        <f aca="false">IF(OR(B193="",C193=""),"",D193/C193)</f>
        <v/>
      </c>
    </row>
    <row r="194" customFormat="false" ht="15" hidden="false" customHeight="false" outlineLevel="0" collapsed="false">
      <c r="D194" s="15" t="str">
        <f aca="false">IF(OR(B194="",C194=""),"",B194-C194)</f>
        <v/>
      </c>
      <c r="E194" s="16" t="str">
        <f aca="false">IF(OR(B194="",C194=""),"",D194/C194)</f>
        <v/>
      </c>
    </row>
    <row r="195" customFormat="false" ht="15" hidden="false" customHeight="false" outlineLevel="0" collapsed="false">
      <c r="D195" s="15" t="str">
        <f aca="false">IF(OR(B195="",C195=""),"",B195-C195)</f>
        <v/>
      </c>
      <c r="E195" s="16" t="str">
        <f aca="false">IF(OR(B195="",C195=""),"",D195/C195)</f>
        <v/>
      </c>
    </row>
    <row r="196" customFormat="false" ht="15" hidden="false" customHeight="false" outlineLevel="0" collapsed="false">
      <c r="D196" s="15" t="str">
        <f aca="false">IF(OR(B196="",C196=""),"",B196-C196)</f>
        <v/>
      </c>
      <c r="E196" s="16" t="str">
        <f aca="false">IF(OR(B196="",C196=""),"",D196/C196)</f>
        <v/>
      </c>
    </row>
    <row r="197" customFormat="false" ht="15" hidden="false" customHeight="false" outlineLevel="0" collapsed="false">
      <c r="D197" s="15" t="str">
        <f aca="false">IF(OR(B197="",C197=""),"",B197-C197)</f>
        <v/>
      </c>
      <c r="E197" s="16" t="str">
        <f aca="false">IF(OR(B197="",C197=""),"",D197/C197)</f>
        <v/>
      </c>
    </row>
    <row r="198" customFormat="false" ht="15" hidden="false" customHeight="false" outlineLevel="0" collapsed="false">
      <c r="D198" s="15" t="str">
        <f aca="false">IF(OR(B198="",C198=""),"",B198-C198)</f>
        <v/>
      </c>
      <c r="E198" s="16" t="str">
        <f aca="false">IF(OR(B198="",C198=""),"",D198/C198)</f>
        <v/>
      </c>
    </row>
    <row r="199" customFormat="false" ht="15" hidden="false" customHeight="false" outlineLevel="0" collapsed="false">
      <c r="D199" s="15" t="str">
        <f aca="false">IF(OR(B199="",C199=""),"",B199-C199)</f>
        <v/>
      </c>
      <c r="E199" s="16" t="str">
        <f aca="false">IF(OR(B199="",C199=""),"",D199/C199)</f>
        <v/>
      </c>
    </row>
    <row r="200" customFormat="false" ht="15" hidden="false" customHeight="false" outlineLevel="0" collapsed="false">
      <c r="D200" s="15" t="str">
        <f aca="false">IF(OR(B200="",C200=""),"",B200-C200)</f>
        <v/>
      </c>
      <c r="E200" s="16" t="str">
        <f aca="false">IF(OR(B200="",C200=""),"",D200/C200)</f>
        <v/>
      </c>
    </row>
    <row r="201" customFormat="false" ht="15" hidden="false" customHeight="false" outlineLevel="0" collapsed="false">
      <c r="D201" s="15" t="str">
        <f aca="false">IF(OR(B201="",C201=""),"",B201-C201)</f>
        <v/>
      </c>
      <c r="E201" s="16" t="str">
        <f aca="false">IF(OR(B201="",C201=""),"",D201/C201)</f>
        <v/>
      </c>
    </row>
    <row r="202" customFormat="false" ht="15" hidden="false" customHeight="false" outlineLevel="0" collapsed="false">
      <c r="D202" s="15" t="str">
        <f aca="false">IF(OR(B202="",C202=""),"",B202-C202)</f>
        <v/>
      </c>
      <c r="E202" s="16" t="str">
        <f aca="false">IF(OR(B202="",C202=""),"",D202/C202)</f>
        <v/>
      </c>
    </row>
    <row r="203" customFormat="false" ht="15" hidden="false" customHeight="false" outlineLevel="0" collapsed="false">
      <c r="D203" s="15" t="str">
        <f aca="false">IF(OR(B203="",C203=""),"",B203-C203)</f>
        <v/>
      </c>
      <c r="E203" s="16" t="str">
        <f aca="false">IF(OR(B203="",C203=""),"",D203/C203)</f>
        <v/>
      </c>
    </row>
    <row r="204" customFormat="false" ht="15" hidden="false" customHeight="false" outlineLevel="0" collapsed="false">
      <c r="D204" s="15" t="str">
        <f aca="false">IF(OR(B204="",C204=""),"",B204-C204)</f>
        <v/>
      </c>
      <c r="E204" s="16" t="str">
        <f aca="false">IF(OR(B204="",C204=""),"",D204/C204)</f>
        <v/>
      </c>
    </row>
    <row r="205" customFormat="false" ht="15" hidden="false" customHeight="false" outlineLevel="0" collapsed="false">
      <c r="D205" s="15" t="str">
        <f aca="false">IF(OR(B205="",C205=""),"",B205-C205)</f>
        <v/>
      </c>
      <c r="E205" s="16" t="str">
        <f aca="false">IF(OR(B205="",C205=""),"",D205/C205)</f>
        <v/>
      </c>
    </row>
    <row r="206" customFormat="false" ht="15" hidden="false" customHeight="false" outlineLevel="0" collapsed="false">
      <c r="D206" s="15" t="str">
        <f aca="false">IF(OR(B206="",C206=""),"",B206-C206)</f>
        <v/>
      </c>
      <c r="E206" s="16" t="str">
        <f aca="false">IF(OR(B206="",C206=""),"",D206/C206)</f>
        <v/>
      </c>
    </row>
    <row r="207" customFormat="false" ht="15" hidden="false" customHeight="false" outlineLevel="0" collapsed="false">
      <c r="D207" s="15" t="str">
        <f aca="false">IF(OR(B207="",C207=""),"",B207-C207)</f>
        <v/>
      </c>
      <c r="E207" s="16" t="str">
        <f aca="false">IF(OR(B207="",C207=""),"",D207/C207)</f>
        <v/>
      </c>
    </row>
    <row r="208" customFormat="false" ht="15" hidden="false" customHeight="false" outlineLevel="0" collapsed="false">
      <c r="D208" s="15" t="str">
        <f aca="false">IF(OR(B208="",C208=""),"",B208-C208)</f>
        <v/>
      </c>
      <c r="E208" s="16" t="str">
        <f aca="false">IF(OR(B208="",C208=""),"",D208/C208)</f>
        <v/>
      </c>
    </row>
    <row r="209" customFormat="false" ht="15" hidden="false" customHeight="false" outlineLevel="0" collapsed="false">
      <c r="D209" s="15" t="str">
        <f aca="false">IF(OR(B209="",C209=""),"",B209-C209)</f>
        <v/>
      </c>
      <c r="E209" s="16" t="str">
        <f aca="false">IF(OR(B209="",C209=""),"",D209/C209)</f>
        <v/>
      </c>
    </row>
    <row r="210" customFormat="false" ht="15" hidden="false" customHeight="false" outlineLevel="0" collapsed="false">
      <c r="D210" s="15" t="str">
        <f aca="false">IF(OR(B210="",C210=""),"",B210-C210)</f>
        <v/>
      </c>
      <c r="E210" s="16" t="str">
        <f aca="false">IF(OR(B210="",C210=""),"",D210/C210)</f>
        <v/>
      </c>
    </row>
    <row r="211" customFormat="false" ht="15" hidden="false" customHeight="false" outlineLevel="0" collapsed="false">
      <c r="D211" s="15" t="str">
        <f aca="false">IF(OR(B211="",C211=""),"",B211-C211)</f>
        <v/>
      </c>
      <c r="E211" s="16" t="str">
        <f aca="false">IF(OR(B211="",C211=""),"",D211/C211)</f>
        <v/>
      </c>
    </row>
    <row r="212" customFormat="false" ht="15" hidden="false" customHeight="false" outlineLevel="0" collapsed="false">
      <c r="D212" s="15" t="str">
        <f aca="false">IF(OR(B212="",C212=""),"",B212-C212)</f>
        <v/>
      </c>
      <c r="E212" s="16" t="str">
        <f aca="false">IF(OR(B212="",C212=""),"",D212/C212)</f>
        <v/>
      </c>
    </row>
    <row r="213" customFormat="false" ht="15" hidden="false" customHeight="false" outlineLevel="0" collapsed="false">
      <c r="D213" s="15" t="str">
        <f aca="false">IF(OR(B213="",C213=""),"",B213-C213)</f>
        <v/>
      </c>
      <c r="E213" s="16" t="str">
        <f aca="false">IF(OR(B213="",C213=""),"",D213/C213)</f>
        <v/>
      </c>
    </row>
    <row r="214" customFormat="false" ht="15" hidden="false" customHeight="false" outlineLevel="0" collapsed="false">
      <c r="D214" s="15" t="str">
        <f aca="false">IF(OR(B214="",C214=""),"",B214-C214)</f>
        <v/>
      </c>
      <c r="E214" s="16" t="str">
        <f aca="false">IF(OR(B214="",C214=""),"",D214/C214)</f>
        <v/>
      </c>
    </row>
    <row r="215" customFormat="false" ht="15" hidden="false" customHeight="false" outlineLevel="0" collapsed="false">
      <c r="D215" s="15" t="str">
        <f aca="false">IF(OR(B215="",C215=""),"",B215-C215)</f>
        <v/>
      </c>
      <c r="E215" s="16" t="str">
        <f aca="false">IF(OR(B215="",C215=""),"",D215/C215)</f>
        <v/>
      </c>
    </row>
    <row r="216" customFormat="false" ht="15" hidden="false" customHeight="false" outlineLevel="0" collapsed="false">
      <c r="D216" s="15" t="str">
        <f aca="false">IF(OR(B216="",C216=""),"",B216-C216)</f>
        <v/>
      </c>
      <c r="E216" s="16" t="str">
        <f aca="false">IF(OR(B216="",C216=""),"",D216/C216)</f>
        <v/>
      </c>
    </row>
    <row r="217" customFormat="false" ht="15" hidden="false" customHeight="false" outlineLevel="0" collapsed="false">
      <c r="D217" s="15" t="str">
        <f aca="false">IF(OR(B217="",C217=""),"",B217-C217)</f>
        <v/>
      </c>
      <c r="E217" s="16" t="str">
        <f aca="false">IF(OR(B217="",C217=""),"",D217/C217)</f>
        <v/>
      </c>
    </row>
    <row r="218" customFormat="false" ht="15" hidden="false" customHeight="false" outlineLevel="0" collapsed="false">
      <c r="D218" s="15" t="str">
        <f aca="false">IF(OR(B218="",C218=""),"",B218-C218)</f>
        <v/>
      </c>
      <c r="E218" s="16" t="str">
        <f aca="false">IF(OR(B218="",C218=""),"",D218/C218)</f>
        <v/>
      </c>
    </row>
    <row r="219" customFormat="false" ht="15" hidden="false" customHeight="false" outlineLevel="0" collapsed="false">
      <c r="D219" s="15" t="str">
        <f aca="false">IF(OR(B219="",C219=""),"",B219-C219)</f>
        <v/>
      </c>
      <c r="E219" s="16" t="str">
        <f aca="false">IF(OR(B219="",C219=""),"",D219/C219)</f>
        <v/>
      </c>
    </row>
    <row r="220" customFormat="false" ht="15" hidden="false" customHeight="false" outlineLevel="0" collapsed="false">
      <c r="D220" s="15" t="str">
        <f aca="false">IF(OR(B220="",C220=""),"",B220-C220)</f>
        <v/>
      </c>
      <c r="E220" s="16" t="str">
        <f aca="false">IF(OR(B220="",C220=""),"",D220/C220)</f>
        <v/>
      </c>
    </row>
    <row r="221" customFormat="false" ht="15" hidden="false" customHeight="false" outlineLevel="0" collapsed="false">
      <c r="D221" s="15" t="str">
        <f aca="false">IF(OR(B221="",C221=""),"",B221-C221)</f>
        <v/>
      </c>
      <c r="E221" s="16" t="str">
        <f aca="false">IF(OR(B221="",C221=""),"",D221/C221)</f>
        <v/>
      </c>
    </row>
    <row r="222" customFormat="false" ht="15" hidden="false" customHeight="false" outlineLevel="0" collapsed="false">
      <c r="D222" s="15" t="str">
        <f aca="false">IF(OR(B222="",C222=""),"",B222-C222)</f>
        <v/>
      </c>
      <c r="E222" s="16" t="str">
        <f aca="false">IF(OR(B222="",C222=""),"",D222/C222)</f>
        <v/>
      </c>
    </row>
    <row r="223" customFormat="false" ht="15" hidden="false" customHeight="false" outlineLevel="0" collapsed="false">
      <c r="D223" s="15" t="str">
        <f aca="false">IF(OR(B223="",C223=""),"",B223-C223)</f>
        <v/>
      </c>
      <c r="E223" s="16" t="str">
        <f aca="false">IF(OR(B223="",C223=""),"",D223/C223)</f>
        <v/>
      </c>
    </row>
    <row r="224" customFormat="false" ht="15" hidden="false" customHeight="false" outlineLevel="0" collapsed="false">
      <c r="D224" s="15" t="str">
        <f aca="false">IF(OR(B224="",C224=""),"",B224-C224)</f>
        <v/>
      </c>
      <c r="E224" s="16" t="str">
        <f aca="false">IF(OR(B224="",C224=""),"",D224/C224)</f>
        <v/>
      </c>
    </row>
    <row r="225" customFormat="false" ht="15" hidden="false" customHeight="false" outlineLevel="0" collapsed="false">
      <c r="D225" s="15" t="str">
        <f aca="false">IF(OR(B225="",C225=""),"",B225-C225)</f>
        <v/>
      </c>
      <c r="E225" s="16" t="str">
        <f aca="false">IF(OR(B225="",C225=""),"",D225/C225)</f>
        <v/>
      </c>
    </row>
    <row r="226" customFormat="false" ht="15" hidden="false" customHeight="false" outlineLevel="0" collapsed="false">
      <c r="D226" s="15" t="str">
        <f aca="false">IF(OR(B226="",C226=""),"",B226-C226)</f>
        <v/>
      </c>
      <c r="E226" s="16" t="str">
        <f aca="false">IF(OR(B226="",C226=""),"",D226/C226)</f>
        <v/>
      </c>
    </row>
    <row r="227" customFormat="false" ht="15" hidden="false" customHeight="false" outlineLevel="0" collapsed="false">
      <c r="D227" s="15" t="str">
        <f aca="false">IF(OR(B227="",C227=""),"",B227-C227)</f>
        <v/>
      </c>
      <c r="E227" s="16" t="str">
        <f aca="false">IF(OR(B227="",C227=""),"",D227/C227)</f>
        <v/>
      </c>
    </row>
    <row r="228" customFormat="false" ht="15" hidden="false" customHeight="false" outlineLevel="0" collapsed="false">
      <c r="D228" s="15" t="str">
        <f aca="false">IF(OR(B228="",C228=""),"",B228-C228)</f>
        <v/>
      </c>
      <c r="E228" s="16" t="str">
        <f aca="false">IF(OR(B228="",C228=""),"",D228/C228)</f>
        <v/>
      </c>
    </row>
    <row r="229" customFormat="false" ht="15" hidden="false" customHeight="false" outlineLevel="0" collapsed="false">
      <c r="D229" s="15" t="str">
        <f aca="false">IF(OR(B229="",C229=""),"",B229-C229)</f>
        <v/>
      </c>
      <c r="E229" s="16" t="str">
        <f aca="false">IF(OR(B229="",C229=""),"",D229/C229)</f>
        <v/>
      </c>
    </row>
    <row r="230" customFormat="false" ht="15" hidden="false" customHeight="false" outlineLevel="0" collapsed="false">
      <c r="D230" s="15" t="str">
        <f aca="false">IF(OR(B230="",C230=""),"",B230-C230)</f>
        <v/>
      </c>
      <c r="E230" s="16" t="str">
        <f aca="false">IF(OR(B230="",C230=""),"",D230/C230)</f>
        <v/>
      </c>
    </row>
    <row r="231" customFormat="false" ht="15" hidden="false" customHeight="false" outlineLevel="0" collapsed="false">
      <c r="D231" s="15" t="str">
        <f aca="false">IF(OR(B231="",C231=""),"",B231-C231)</f>
        <v/>
      </c>
      <c r="E231" s="16" t="str">
        <f aca="false">IF(OR(B231="",C231=""),"",D231/C231)</f>
        <v/>
      </c>
    </row>
    <row r="232" customFormat="false" ht="15" hidden="false" customHeight="false" outlineLevel="0" collapsed="false">
      <c r="D232" s="15" t="str">
        <f aca="false">IF(OR(B232="",C232=""),"",B232-C232)</f>
        <v/>
      </c>
      <c r="E232" s="16" t="str">
        <f aca="false">IF(OR(B232="",C232=""),"",D232/C232)</f>
        <v/>
      </c>
    </row>
    <row r="233" customFormat="false" ht="15" hidden="false" customHeight="false" outlineLevel="0" collapsed="false">
      <c r="D233" s="15" t="str">
        <f aca="false">IF(OR(B233="",C233=""),"",B233-C233)</f>
        <v/>
      </c>
      <c r="E233" s="16" t="str">
        <f aca="false">IF(OR(B233="",C233=""),"",D233/C233)</f>
        <v/>
      </c>
    </row>
    <row r="234" customFormat="false" ht="15" hidden="false" customHeight="false" outlineLevel="0" collapsed="false">
      <c r="D234" s="15" t="str">
        <f aca="false">IF(OR(B234="",C234=""),"",B234-C234)</f>
        <v/>
      </c>
      <c r="E234" s="16" t="str">
        <f aca="false">IF(OR(B234="",C234=""),"",D234/C234)</f>
        <v/>
      </c>
    </row>
    <row r="235" customFormat="false" ht="15" hidden="false" customHeight="false" outlineLevel="0" collapsed="false">
      <c r="D235" s="15" t="str">
        <f aca="false">IF(OR(B235="",C235=""),"",B235-C235)</f>
        <v/>
      </c>
      <c r="E235" s="16" t="str">
        <f aca="false">IF(OR(B235="",C235=""),"",D235/C235)</f>
        <v/>
      </c>
    </row>
    <row r="236" customFormat="false" ht="15" hidden="false" customHeight="false" outlineLevel="0" collapsed="false">
      <c r="D236" s="15" t="str">
        <f aca="false">IF(OR(B236="",C236=""),"",B236-C236)</f>
        <v/>
      </c>
      <c r="E236" s="16" t="str">
        <f aca="false">IF(OR(B236="",C236=""),"",D236/C236)</f>
        <v/>
      </c>
    </row>
    <row r="237" customFormat="false" ht="15" hidden="false" customHeight="false" outlineLevel="0" collapsed="false">
      <c r="D237" s="15" t="str">
        <f aca="false">IF(OR(B237="",C237=""),"",B237-C237)</f>
        <v/>
      </c>
      <c r="E237" s="16" t="str">
        <f aca="false">IF(OR(B237="",C237=""),"",D237/C237)</f>
        <v/>
      </c>
    </row>
    <row r="238" customFormat="false" ht="15" hidden="false" customHeight="false" outlineLevel="0" collapsed="false">
      <c r="D238" s="15" t="str">
        <f aca="false">IF(OR(B238="",C238=""),"",B238-C238)</f>
        <v/>
      </c>
      <c r="E238" s="16" t="str">
        <f aca="false">IF(OR(B238="",C238=""),"",D238/C238)</f>
        <v/>
      </c>
    </row>
    <row r="239" customFormat="false" ht="15" hidden="false" customHeight="false" outlineLevel="0" collapsed="false">
      <c r="D239" s="15" t="str">
        <f aca="false">IF(OR(B239="",C239=""),"",B239-C239)</f>
        <v/>
      </c>
      <c r="E239" s="16" t="str">
        <f aca="false">IF(OR(B239="",C239=""),"",D239/C239)</f>
        <v/>
      </c>
    </row>
    <row r="240" customFormat="false" ht="15" hidden="false" customHeight="false" outlineLevel="0" collapsed="false">
      <c r="D240" s="15" t="str">
        <f aca="false">IF(OR(B240="",C240=""),"",B240-C240)</f>
        <v/>
      </c>
      <c r="E240" s="16" t="str">
        <f aca="false">IF(OR(B240="",C240=""),"",D240/C240)</f>
        <v/>
      </c>
    </row>
    <row r="241" customFormat="false" ht="15" hidden="false" customHeight="false" outlineLevel="0" collapsed="false">
      <c r="D241" s="15" t="str">
        <f aca="false">IF(OR(B241="",C241=""),"",B241-C241)</f>
        <v/>
      </c>
      <c r="E241" s="16" t="str">
        <f aca="false">IF(OR(B241="",C241=""),"",D241/C241)</f>
        <v/>
      </c>
    </row>
    <row r="242" customFormat="false" ht="15" hidden="false" customHeight="false" outlineLevel="0" collapsed="false">
      <c r="D242" s="15" t="str">
        <f aca="false">IF(OR(B242="",C242=""),"",B242-C242)</f>
        <v/>
      </c>
      <c r="E242" s="16" t="str">
        <f aca="false">IF(OR(B242="",C242=""),"",D242/C242)</f>
        <v/>
      </c>
    </row>
    <row r="243" customFormat="false" ht="15" hidden="false" customHeight="false" outlineLevel="0" collapsed="false">
      <c r="D243" s="15" t="str">
        <f aca="false">IF(OR(B243="",C243=""),"",B243-C243)</f>
        <v/>
      </c>
      <c r="E243" s="16" t="str">
        <f aca="false">IF(OR(B243="",C243=""),"",D243/C243)</f>
        <v/>
      </c>
    </row>
    <row r="244" customFormat="false" ht="15" hidden="false" customHeight="false" outlineLevel="0" collapsed="false">
      <c r="D244" s="15" t="str">
        <f aca="false">IF(OR(B244="",C244=""),"",B244-C244)</f>
        <v/>
      </c>
      <c r="E244" s="16" t="str">
        <f aca="false">IF(OR(B244="",C244=""),"",D244/C244)</f>
        <v/>
      </c>
    </row>
    <row r="245" customFormat="false" ht="15" hidden="false" customHeight="false" outlineLevel="0" collapsed="false">
      <c r="D245" s="15" t="str">
        <f aca="false">IF(OR(B245="",C245=""),"",B245-C245)</f>
        <v/>
      </c>
      <c r="E245" s="16" t="str">
        <f aca="false">IF(OR(B245="",C245=""),"",D245/C245)</f>
        <v/>
      </c>
    </row>
    <row r="246" customFormat="false" ht="15" hidden="false" customHeight="false" outlineLevel="0" collapsed="false">
      <c r="D246" s="15" t="str">
        <f aca="false">IF(OR(B246="",C246=""),"",B246-C246)</f>
        <v/>
      </c>
      <c r="E246" s="16" t="str">
        <f aca="false">IF(OR(B246="",C246=""),"",D246/C246)</f>
        <v/>
      </c>
    </row>
    <row r="247" customFormat="false" ht="15" hidden="false" customHeight="false" outlineLevel="0" collapsed="false">
      <c r="D247" s="15" t="str">
        <f aca="false">IF(OR(B247="",C247=""),"",B247-C247)</f>
        <v/>
      </c>
      <c r="E247" s="16" t="str">
        <f aca="false">IF(OR(B247="",C247=""),"",D247/C247)</f>
        <v/>
      </c>
    </row>
    <row r="248" customFormat="false" ht="15" hidden="false" customHeight="false" outlineLevel="0" collapsed="false">
      <c r="D248" s="15" t="str">
        <f aca="false">IF(OR(B248="",C248=""),"",B248-C248)</f>
        <v/>
      </c>
      <c r="E248" s="16" t="str">
        <f aca="false">IF(OR(B248="",C248=""),"",D248/C248)</f>
        <v/>
      </c>
    </row>
    <row r="249" customFormat="false" ht="15" hidden="false" customHeight="false" outlineLevel="0" collapsed="false">
      <c r="D249" s="15" t="str">
        <f aca="false">IF(OR(B249="",C249=""),"",B249-C249)</f>
        <v/>
      </c>
      <c r="E249" s="16" t="str">
        <f aca="false">IF(OR(B249="",C249=""),"",D249/C249)</f>
        <v/>
      </c>
    </row>
    <row r="250" customFormat="false" ht="15" hidden="false" customHeight="false" outlineLevel="0" collapsed="false">
      <c r="D250" s="15" t="str">
        <f aca="false">IF(OR(B250="",C250=""),"",B250-C250)</f>
        <v/>
      </c>
      <c r="E250" s="16" t="str">
        <f aca="false">IF(OR(B250="",C250=""),"",D250/C250)</f>
        <v/>
      </c>
    </row>
    <row r="251" customFormat="false" ht="15" hidden="false" customHeight="false" outlineLevel="0" collapsed="false">
      <c r="D251" s="15" t="str">
        <f aca="false">IF(OR(B251="",C251=""),"",B251-C251)</f>
        <v/>
      </c>
      <c r="E251" s="16" t="str">
        <f aca="false">IF(OR(B251="",C251=""),"",D251/C251)</f>
        <v/>
      </c>
    </row>
    <row r="252" customFormat="false" ht="15" hidden="false" customHeight="false" outlineLevel="0" collapsed="false">
      <c r="D252" s="15" t="str">
        <f aca="false">IF(OR(B252="",C252=""),"",B252-C252)</f>
        <v/>
      </c>
      <c r="E252" s="16" t="str">
        <f aca="false">IF(OR(B252="",C252=""),"",D252/C252)</f>
        <v/>
      </c>
    </row>
    <row r="253" customFormat="false" ht="15" hidden="false" customHeight="false" outlineLevel="0" collapsed="false">
      <c r="D253" s="15" t="str">
        <f aca="false">IF(OR(B253="",C253=""),"",B253-C253)</f>
        <v/>
      </c>
      <c r="E253" s="16" t="str">
        <f aca="false">IF(OR(B253="",C253=""),"",D253/C253)</f>
        <v/>
      </c>
    </row>
    <row r="254" customFormat="false" ht="15" hidden="false" customHeight="false" outlineLevel="0" collapsed="false">
      <c r="D254" s="15" t="str">
        <f aca="false">IF(OR(B254="",C254=""),"",B254-C254)</f>
        <v/>
      </c>
      <c r="E254" s="16" t="str">
        <f aca="false">IF(OR(B254="",C254=""),"",D254/C254)</f>
        <v/>
      </c>
    </row>
    <row r="255" customFormat="false" ht="15" hidden="false" customHeight="false" outlineLevel="0" collapsed="false">
      <c r="D255" s="15" t="str">
        <f aca="false">IF(OR(B255="",C255=""),"",B255-C255)</f>
        <v/>
      </c>
      <c r="E255" s="16" t="str">
        <f aca="false">IF(OR(B255="",C255=""),"",D255/C255)</f>
        <v/>
      </c>
    </row>
    <row r="256" customFormat="false" ht="15" hidden="false" customHeight="false" outlineLevel="0" collapsed="false">
      <c r="D256" s="15" t="str">
        <f aca="false">IF(OR(B256="",C256=""),"",B256-C256)</f>
        <v/>
      </c>
      <c r="E256" s="16" t="str">
        <f aca="false">IF(OR(B256="",C256=""),"",D256/C256)</f>
        <v/>
      </c>
    </row>
    <row r="257" customFormat="false" ht="15" hidden="false" customHeight="false" outlineLevel="0" collapsed="false">
      <c r="D257" s="15" t="str">
        <f aca="false">IF(OR(B257="",C257=""),"",B257-C257)</f>
        <v/>
      </c>
      <c r="E257" s="16" t="str">
        <f aca="false">IF(OR(B257="",C257=""),"",D257/C257)</f>
        <v/>
      </c>
    </row>
    <row r="258" customFormat="false" ht="15" hidden="false" customHeight="false" outlineLevel="0" collapsed="false">
      <c r="D258" s="15" t="str">
        <f aca="false">IF(OR(B258="",C258=""),"",B258-C258)</f>
        <v/>
      </c>
      <c r="E258" s="16" t="str">
        <f aca="false">IF(OR(B258="",C258=""),"",D258/C258)</f>
        <v/>
      </c>
    </row>
    <row r="259" customFormat="false" ht="15" hidden="false" customHeight="false" outlineLevel="0" collapsed="false">
      <c r="D259" s="15" t="str">
        <f aca="false">IF(OR(B259="",C259=""),"",B259-C259)</f>
        <v/>
      </c>
      <c r="E259" s="16" t="str">
        <f aca="false">IF(OR(B259="",C259=""),"",D259/C259)</f>
        <v/>
      </c>
    </row>
    <row r="260" customFormat="false" ht="15" hidden="false" customHeight="false" outlineLevel="0" collapsed="false">
      <c r="D260" s="15" t="str">
        <f aca="false">IF(OR(B260="",C260=""),"",B260-C260)</f>
        <v/>
      </c>
      <c r="E260" s="16" t="str">
        <f aca="false">IF(OR(B260="",C260=""),"",D260/C260)</f>
        <v/>
      </c>
    </row>
    <row r="261" customFormat="false" ht="15" hidden="false" customHeight="false" outlineLevel="0" collapsed="false">
      <c r="D261" s="15" t="str">
        <f aca="false">IF(OR(B261="",C261=""),"",B261-C261)</f>
        <v/>
      </c>
      <c r="E261" s="16" t="str">
        <f aca="false">IF(OR(B261="",C261=""),"",D261/C261)</f>
        <v/>
      </c>
    </row>
    <row r="262" customFormat="false" ht="15" hidden="false" customHeight="false" outlineLevel="0" collapsed="false">
      <c r="D262" s="15" t="str">
        <f aca="false">IF(OR(B262="",C262=""),"",B262-C262)</f>
        <v/>
      </c>
      <c r="E262" s="16" t="str">
        <f aca="false">IF(OR(B262="",C262=""),"",D262/C262)</f>
        <v/>
      </c>
    </row>
    <row r="263" customFormat="false" ht="15" hidden="false" customHeight="false" outlineLevel="0" collapsed="false">
      <c r="D263" s="15" t="str">
        <f aca="false">IF(OR(B263="",C263=""),"",B263-C263)</f>
        <v/>
      </c>
      <c r="E263" s="16" t="str">
        <f aca="false">IF(OR(B263="",C263=""),"",D263/C263)</f>
        <v/>
      </c>
    </row>
    <row r="264" customFormat="false" ht="15" hidden="false" customHeight="false" outlineLevel="0" collapsed="false">
      <c r="D264" s="15" t="str">
        <f aca="false">IF(OR(B264="",C264=""),"",B264-C264)</f>
        <v/>
      </c>
      <c r="E264" s="16" t="str">
        <f aca="false">IF(OR(B264="",C264=""),"",D264/C264)</f>
        <v/>
      </c>
    </row>
    <row r="265" customFormat="false" ht="15" hidden="false" customHeight="false" outlineLevel="0" collapsed="false">
      <c r="D265" s="15" t="str">
        <f aca="false">IF(OR(B265="",C265=""),"",B265-C265)</f>
        <v/>
      </c>
      <c r="E265" s="16" t="str">
        <f aca="false">IF(OR(B265="",C265=""),"",D265/C265)</f>
        <v/>
      </c>
    </row>
    <row r="266" customFormat="false" ht="15" hidden="false" customHeight="false" outlineLevel="0" collapsed="false">
      <c r="D266" s="15" t="str">
        <f aca="false">IF(OR(B266="",C266=""),"",B266-C266)</f>
        <v/>
      </c>
      <c r="E266" s="16" t="str">
        <f aca="false">IF(OR(B266="",C266=""),"",D266/C266)</f>
        <v/>
      </c>
    </row>
    <row r="267" customFormat="false" ht="15" hidden="false" customHeight="false" outlineLevel="0" collapsed="false">
      <c r="D267" s="15" t="str">
        <f aca="false">IF(OR(B267="",C267=""),"",B267-C267)</f>
        <v/>
      </c>
      <c r="E267" s="16" t="str">
        <f aca="false">IF(OR(B267="",C267=""),"",D267/C267)</f>
        <v/>
      </c>
    </row>
    <row r="268" customFormat="false" ht="15" hidden="false" customHeight="false" outlineLevel="0" collapsed="false">
      <c r="D268" s="15" t="str">
        <f aca="false">IF(OR(B268="",C268=""),"",B268-C268)</f>
        <v/>
      </c>
      <c r="E268" s="16" t="str">
        <f aca="false">IF(OR(B268="",C268=""),"",D268/C268)</f>
        <v/>
      </c>
    </row>
    <row r="269" customFormat="false" ht="15" hidden="false" customHeight="false" outlineLevel="0" collapsed="false">
      <c r="D269" s="15" t="str">
        <f aca="false">IF(OR(B269="",C269=""),"",B269-C269)</f>
        <v/>
      </c>
      <c r="E269" s="16" t="str">
        <f aca="false">IF(OR(B269="",C269=""),"",D269/C269)</f>
        <v/>
      </c>
    </row>
    <row r="270" customFormat="false" ht="15" hidden="false" customHeight="false" outlineLevel="0" collapsed="false">
      <c r="D270" s="15" t="str">
        <f aca="false">IF(OR(B270="",C270=""),"",B270-C270)</f>
        <v/>
      </c>
      <c r="E270" s="16" t="str">
        <f aca="false">IF(OR(B270="",C270=""),"",D270/C270)</f>
        <v/>
      </c>
    </row>
    <row r="271" customFormat="false" ht="15" hidden="false" customHeight="false" outlineLevel="0" collapsed="false">
      <c r="D271" s="15" t="str">
        <f aca="false">IF(OR(B271="",C271=""),"",B271-C271)</f>
        <v/>
      </c>
      <c r="E271" s="16" t="str">
        <f aca="false">IF(OR(B271="",C271=""),"",D271/C271)</f>
        <v/>
      </c>
    </row>
    <row r="272" customFormat="false" ht="15" hidden="false" customHeight="false" outlineLevel="0" collapsed="false">
      <c r="D272" s="15" t="str">
        <f aca="false">IF(OR(B272="",C272=""),"",B272-C272)</f>
        <v/>
      </c>
      <c r="E272" s="16" t="str">
        <f aca="false">IF(OR(B272="",C272=""),"",D272/C272)</f>
        <v/>
      </c>
    </row>
    <row r="273" customFormat="false" ht="15" hidden="false" customHeight="false" outlineLevel="0" collapsed="false">
      <c r="D273" s="15" t="str">
        <f aca="false">IF(OR(B273="",C273=""),"",B273-C273)</f>
        <v/>
      </c>
      <c r="E273" s="16" t="str">
        <f aca="false">IF(OR(B273="",C273=""),"",D273/C273)</f>
        <v/>
      </c>
    </row>
    <row r="274" customFormat="false" ht="15" hidden="false" customHeight="false" outlineLevel="0" collapsed="false">
      <c r="D274" s="15" t="str">
        <f aca="false">IF(OR(B274="",C274=""),"",B274-C274)</f>
        <v/>
      </c>
      <c r="E274" s="16" t="str">
        <f aca="false">IF(OR(B274="",C274=""),"",D274/C274)</f>
        <v/>
      </c>
    </row>
    <row r="275" customFormat="false" ht="15" hidden="false" customHeight="false" outlineLevel="0" collapsed="false">
      <c r="D275" s="15" t="str">
        <f aca="false">IF(OR(B275="",C275=""),"",B275-C275)</f>
        <v/>
      </c>
      <c r="E275" s="16" t="str">
        <f aca="false">IF(OR(B275="",C275=""),"",D275/C275)</f>
        <v/>
      </c>
    </row>
    <row r="276" customFormat="false" ht="15" hidden="false" customHeight="false" outlineLevel="0" collapsed="false">
      <c r="D276" s="15" t="str">
        <f aca="false">IF(OR(B276="",C276=""),"",B276-C276)</f>
        <v/>
      </c>
      <c r="E276" s="16" t="str">
        <f aca="false">IF(OR(B276="",C276=""),"",D276/C276)</f>
        <v/>
      </c>
    </row>
    <row r="277" customFormat="false" ht="15" hidden="false" customHeight="false" outlineLevel="0" collapsed="false">
      <c r="D277" s="15" t="str">
        <f aca="false">IF(OR(B277="",C277=""),"",B277-C277)</f>
        <v/>
      </c>
      <c r="E277" s="16" t="str">
        <f aca="false">IF(OR(B277="",C277=""),"",D277/C277)</f>
        <v/>
      </c>
    </row>
    <row r="278" customFormat="false" ht="15" hidden="false" customHeight="false" outlineLevel="0" collapsed="false">
      <c r="D278" s="15" t="str">
        <f aca="false">IF(OR(B278="",C278=""),"",B278-C278)</f>
        <v/>
      </c>
      <c r="E278" s="16" t="str">
        <f aca="false">IF(OR(B278="",C278=""),"",D278/C278)</f>
        <v/>
      </c>
    </row>
    <row r="279" customFormat="false" ht="15" hidden="false" customHeight="false" outlineLevel="0" collapsed="false">
      <c r="D279" s="15" t="str">
        <f aca="false">IF(OR(B279="",C279=""),"",B279-C279)</f>
        <v/>
      </c>
      <c r="E279" s="16" t="str">
        <f aca="false">IF(OR(B279="",C279=""),"",D279/C279)</f>
        <v/>
      </c>
    </row>
    <row r="280" customFormat="false" ht="15" hidden="false" customHeight="false" outlineLevel="0" collapsed="false">
      <c r="D280" s="15" t="str">
        <f aca="false">IF(OR(B280="",C280=""),"",B280-C280)</f>
        <v/>
      </c>
      <c r="E280" s="16" t="str">
        <f aca="false">IF(OR(B280="",C280=""),"",D280/C280)</f>
        <v/>
      </c>
    </row>
    <row r="281" customFormat="false" ht="15" hidden="false" customHeight="false" outlineLevel="0" collapsed="false">
      <c r="D281" s="15" t="str">
        <f aca="false">IF(OR(B281="",C281=""),"",B281-C281)</f>
        <v/>
      </c>
      <c r="E281" s="16" t="str">
        <f aca="false">IF(OR(B281="",C281=""),"",D281/C281)</f>
        <v/>
      </c>
    </row>
    <row r="282" customFormat="false" ht="15" hidden="false" customHeight="false" outlineLevel="0" collapsed="false">
      <c r="D282" s="15" t="str">
        <f aca="false">IF(OR(B282="",C282=""),"",B282-C282)</f>
        <v/>
      </c>
      <c r="E282" s="16" t="str">
        <f aca="false">IF(OR(B282="",C282=""),"",D282/C282)</f>
        <v/>
      </c>
    </row>
    <row r="283" customFormat="false" ht="15" hidden="false" customHeight="false" outlineLevel="0" collapsed="false">
      <c r="D283" s="15" t="str">
        <f aca="false">IF(OR(B283="",C283=""),"",B283-C283)</f>
        <v/>
      </c>
      <c r="E283" s="16" t="str">
        <f aca="false">IF(OR(B283="",C283=""),"",D283/C283)</f>
        <v/>
      </c>
    </row>
    <row r="284" customFormat="false" ht="15" hidden="false" customHeight="false" outlineLevel="0" collapsed="false">
      <c r="D284" s="15" t="str">
        <f aca="false">IF(OR(B284="",C284=""),"",B284-C284)</f>
        <v/>
      </c>
      <c r="E284" s="16" t="str">
        <f aca="false">IF(OR(B284="",C284=""),"",D284/C284)</f>
        <v/>
      </c>
    </row>
    <row r="285" customFormat="false" ht="15" hidden="false" customHeight="false" outlineLevel="0" collapsed="false">
      <c r="D285" s="15" t="str">
        <f aca="false">IF(OR(B285="",C285=""),"",B285-C285)</f>
        <v/>
      </c>
      <c r="E285" s="16" t="str">
        <f aca="false">IF(OR(B285="",C285=""),"",D285/C285)</f>
        <v/>
      </c>
    </row>
    <row r="286" customFormat="false" ht="15" hidden="false" customHeight="false" outlineLevel="0" collapsed="false">
      <c r="D286" s="15" t="str">
        <f aca="false">IF(OR(B286="",C286=""),"",B286-C286)</f>
        <v/>
      </c>
      <c r="E286" s="16" t="str">
        <f aca="false">IF(OR(B286="",C286=""),"",D286/C286)</f>
        <v/>
      </c>
    </row>
    <row r="287" customFormat="false" ht="15" hidden="false" customHeight="false" outlineLevel="0" collapsed="false">
      <c r="D287" s="15" t="str">
        <f aca="false">IF(OR(B287="",C287=""),"",B287-C287)</f>
        <v/>
      </c>
      <c r="E287" s="16" t="str">
        <f aca="false">IF(OR(B287="",C287=""),"",D287/C287)</f>
        <v/>
      </c>
    </row>
    <row r="288" customFormat="false" ht="15" hidden="false" customHeight="false" outlineLevel="0" collapsed="false">
      <c r="D288" s="15" t="str">
        <f aca="false">IF(OR(B288="",C288=""),"",B288-C288)</f>
        <v/>
      </c>
      <c r="E288" s="16" t="str">
        <f aca="false">IF(OR(B288="",C288=""),"",D288/C288)</f>
        <v/>
      </c>
    </row>
    <row r="289" customFormat="false" ht="15" hidden="false" customHeight="false" outlineLevel="0" collapsed="false">
      <c r="D289" s="15" t="str">
        <f aca="false">IF(OR(B289="",C289=""),"",B289-C289)</f>
        <v/>
      </c>
      <c r="E289" s="16" t="str">
        <f aca="false">IF(OR(B289="",C289=""),"",D289/C289)</f>
        <v/>
      </c>
    </row>
    <row r="290" customFormat="false" ht="15" hidden="false" customHeight="false" outlineLevel="0" collapsed="false">
      <c r="D290" s="15" t="str">
        <f aca="false">IF(OR(B290="",C290=""),"",B290-C290)</f>
        <v/>
      </c>
      <c r="E290" s="16" t="str">
        <f aca="false">IF(OR(B290="",C290=""),"",D290/C290)</f>
        <v/>
      </c>
    </row>
    <row r="291" customFormat="false" ht="15" hidden="false" customHeight="false" outlineLevel="0" collapsed="false">
      <c r="D291" s="15" t="str">
        <f aca="false">IF(OR(B291="",C291=""),"",B291-C291)</f>
        <v/>
      </c>
      <c r="E291" s="16" t="str">
        <f aca="false">IF(OR(B291="",C291=""),"",D291/C291)</f>
        <v/>
      </c>
    </row>
    <row r="292" customFormat="false" ht="15" hidden="false" customHeight="false" outlineLevel="0" collapsed="false">
      <c r="D292" s="15" t="str">
        <f aca="false">IF(OR(B292="",C292=""),"",B292-C292)</f>
        <v/>
      </c>
      <c r="E292" s="16" t="str">
        <f aca="false">IF(OR(B292="",C292=""),"",D292/C292)</f>
        <v/>
      </c>
    </row>
    <row r="293" customFormat="false" ht="15" hidden="false" customHeight="false" outlineLevel="0" collapsed="false">
      <c r="D293" s="15" t="str">
        <f aca="false">IF(OR(B293="",C293=""),"",B293-C293)</f>
        <v/>
      </c>
      <c r="E293" s="16" t="str">
        <f aca="false">IF(OR(B293="",C293=""),"",D293/C293)</f>
        <v/>
      </c>
    </row>
    <row r="294" customFormat="false" ht="15" hidden="false" customHeight="false" outlineLevel="0" collapsed="false">
      <c r="D294" s="15" t="str">
        <f aca="false">IF(OR(B294="",C294=""),"",B294-C294)</f>
        <v/>
      </c>
      <c r="E294" s="16" t="str">
        <f aca="false">IF(OR(B294="",C294=""),"",D294/C294)</f>
        <v/>
      </c>
    </row>
    <row r="295" customFormat="false" ht="15" hidden="false" customHeight="false" outlineLevel="0" collapsed="false">
      <c r="D295" s="15" t="str">
        <f aca="false">IF(OR(B295="",C295=""),"",B295-C295)</f>
        <v/>
      </c>
      <c r="E295" s="16" t="str">
        <f aca="false">IF(OR(B295="",C295=""),"",D295/C295)</f>
        <v/>
      </c>
    </row>
    <row r="296" customFormat="false" ht="15" hidden="false" customHeight="false" outlineLevel="0" collapsed="false">
      <c r="D296" s="15" t="str">
        <f aca="false">IF(OR(B296="",C296=""),"",B296-C296)</f>
        <v/>
      </c>
      <c r="E296" s="16" t="str">
        <f aca="false">IF(OR(B296="",C296=""),"",D296/C296)</f>
        <v/>
      </c>
    </row>
    <row r="297" customFormat="false" ht="15" hidden="false" customHeight="false" outlineLevel="0" collapsed="false">
      <c r="D297" s="15" t="str">
        <f aca="false">IF(OR(B297="",C297=""),"",B297-C297)</f>
        <v/>
      </c>
      <c r="E297" s="16" t="str">
        <f aca="false">IF(OR(B297="",C297=""),"",D297/C297)</f>
        <v/>
      </c>
    </row>
    <row r="298" customFormat="false" ht="15" hidden="false" customHeight="false" outlineLevel="0" collapsed="false">
      <c r="D298" s="15" t="str">
        <f aca="false">IF(OR(B298="",C298=""),"",B298-C298)</f>
        <v/>
      </c>
      <c r="E298" s="16" t="str">
        <f aca="false">IF(OR(B298="",C298=""),"",D298/C298)</f>
        <v/>
      </c>
    </row>
    <row r="299" customFormat="false" ht="15" hidden="false" customHeight="false" outlineLevel="0" collapsed="false">
      <c r="D299" s="15" t="str">
        <f aca="false">IF(OR(B299="",C299=""),"",B299-C299)</f>
        <v/>
      </c>
      <c r="E299" s="16" t="str">
        <f aca="false">IF(OR(B299="",C299=""),"",D299/C299)</f>
        <v/>
      </c>
    </row>
    <row r="300" customFormat="false" ht="15" hidden="false" customHeight="false" outlineLevel="0" collapsed="false">
      <c r="D300" s="15" t="str">
        <f aca="false">IF(OR(B300="",C300=""),"",B300-C300)</f>
        <v/>
      </c>
      <c r="E300" s="16" t="str">
        <f aca="false">IF(OR(B300="",C300=""),"",D300/C300)</f>
        <v/>
      </c>
    </row>
    <row r="301" customFormat="false" ht="15" hidden="false" customHeight="false" outlineLevel="0" collapsed="false">
      <c r="D301" s="15" t="str">
        <f aca="false">IF(OR(B301="",C301=""),"",B301-C301)</f>
        <v/>
      </c>
      <c r="E301" s="16" t="str">
        <f aca="false">IF(OR(B301="",C301=""),"",D301/C301)</f>
        <v/>
      </c>
    </row>
    <row r="302" customFormat="false" ht="15" hidden="false" customHeight="false" outlineLevel="0" collapsed="false">
      <c r="D302" s="15" t="str">
        <f aca="false">IF(OR(B302="",C302=""),"",B302-C302)</f>
        <v/>
      </c>
      <c r="E302" s="16" t="str">
        <f aca="false">IF(OR(B302="",C302=""),"",D302/C302)</f>
        <v/>
      </c>
    </row>
    <row r="303" customFormat="false" ht="15" hidden="false" customHeight="false" outlineLevel="0" collapsed="false">
      <c r="D303" s="15" t="str">
        <f aca="false">IF(OR(B303="",C303=""),"",B303-C303)</f>
        <v/>
      </c>
      <c r="E303" s="16" t="str">
        <f aca="false">IF(OR(B303="",C303=""),"",D303/C303)</f>
        <v/>
      </c>
    </row>
    <row r="304" customFormat="false" ht="15" hidden="false" customHeight="false" outlineLevel="0" collapsed="false">
      <c r="D304" s="15" t="str">
        <f aca="false">IF(OR(B304="",C304=""),"",B304-C304)</f>
        <v/>
      </c>
      <c r="E304" s="16" t="str">
        <f aca="false">IF(OR(B304="",C304=""),"",D304/C304)</f>
        <v/>
      </c>
    </row>
    <row r="305" customFormat="false" ht="15" hidden="false" customHeight="false" outlineLevel="0" collapsed="false">
      <c r="D305" s="15" t="str">
        <f aca="false">IF(OR(B305="",C305=""),"",B305-C305)</f>
        <v/>
      </c>
      <c r="E305" s="16" t="str">
        <f aca="false">IF(OR(B305="",C305=""),"",D305/C305)</f>
        <v/>
      </c>
    </row>
    <row r="306" customFormat="false" ht="15" hidden="false" customHeight="false" outlineLevel="0" collapsed="false">
      <c r="D306" s="15" t="str">
        <f aca="false">IF(OR(B306="",C306=""),"",B306-C306)</f>
        <v/>
      </c>
      <c r="E306" s="16" t="str">
        <f aca="false">IF(OR(B306="",C306=""),"",D306/C306)</f>
        <v/>
      </c>
    </row>
    <row r="307" customFormat="false" ht="15" hidden="false" customHeight="false" outlineLevel="0" collapsed="false">
      <c r="D307" s="15" t="str">
        <f aca="false">IF(OR(B307="",C307=""),"",B307-C307)</f>
        <v/>
      </c>
      <c r="E307" s="16" t="str">
        <f aca="false">IF(OR(B307="",C307=""),"",D307/C307)</f>
        <v/>
      </c>
    </row>
    <row r="308" customFormat="false" ht="15" hidden="false" customHeight="false" outlineLevel="0" collapsed="false">
      <c r="D308" s="15" t="str">
        <f aca="false">IF(OR(B308="",C308=""),"",B308-C308)</f>
        <v/>
      </c>
      <c r="E308" s="16" t="str">
        <f aca="false">IF(OR(B308="",C308=""),"",D308/C308)</f>
        <v/>
      </c>
    </row>
    <row r="309" customFormat="false" ht="15" hidden="false" customHeight="false" outlineLevel="0" collapsed="false">
      <c r="D309" s="15" t="str">
        <f aca="false">IF(OR(B309="",C309=""),"",B309-C309)</f>
        <v/>
      </c>
      <c r="E309" s="16" t="str">
        <f aca="false">IF(OR(B309="",C309=""),"",D309/C309)</f>
        <v/>
      </c>
    </row>
    <row r="310" customFormat="false" ht="15" hidden="false" customHeight="false" outlineLevel="0" collapsed="false">
      <c r="D310" s="15" t="str">
        <f aca="false">IF(OR(B310="",C310=""),"",B310-C310)</f>
        <v/>
      </c>
      <c r="E310" s="16" t="str">
        <f aca="false">IF(OR(B310="",C310=""),"",D310/C310)</f>
        <v/>
      </c>
    </row>
    <row r="311" customFormat="false" ht="15" hidden="false" customHeight="false" outlineLevel="0" collapsed="false">
      <c r="D311" s="15" t="str">
        <f aca="false">IF(OR(B311="",C311=""),"",B311-C311)</f>
        <v/>
      </c>
      <c r="E311" s="16" t="str">
        <f aca="false">IF(OR(B311="",C311=""),"",D311/C311)</f>
        <v/>
      </c>
    </row>
    <row r="312" customFormat="false" ht="15" hidden="false" customHeight="false" outlineLevel="0" collapsed="false">
      <c r="D312" s="15" t="str">
        <f aca="false">IF(OR(B312="",C312=""),"",B312-C312)</f>
        <v/>
      </c>
      <c r="E312" s="16" t="str">
        <f aca="false">IF(OR(B312="",C312=""),"",D312/C312)</f>
        <v/>
      </c>
    </row>
    <row r="313" customFormat="false" ht="15" hidden="false" customHeight="false" outlineLevel="0" collapsed="false">
      <c r="D313" s="15" t="str">
        <f aca="false">IF(OR(B313="",C313=""),"",B313-C313)</f>
        <v/>
      </c>
      <c r="E313" s="16" t="str">
        <f aca="false">IF(OR(B313="",C313=""),"",D313/C313)</f>
        <v/>
      </c>
    </row>
    <row r="314" customFormat="false" ht="15" hidden="false" customHeight="false" outlineLevel="0" collapsed="false">
      <c r="D314" s="15" t="str">
        <f aca="false">IF(OR(B314="",C314=""),"",B314-C314)</f>
        <v/>
      </c>
      <c r="E314" s="16" t="str">
        <f aca="false">IF(OR(B314="",C314=""),"",D314/C314)</f>
        <v/>
      </c>
    </row>
    <row r="315" customFormat="false" ht="15" hidden="false" customHeight="false" outlineLevel="0" collapsed="false">
      <c r="D315" s="15" t="str">
        <f aca="false">IF(OR(B315="",C315=""),"",B315-C315)</f>
        <v/>
      </c>
      <c r="E315" s="16" t="str">
        <f aca="false">IF(OR(B315="",C315=""),"",D315/C315)</f>
        <v/>
      </c>
    </row>
    <row r="316" customFormat="false" ht="15" hidden="false" customHeight="false" outlineLevel="0" collapsed="false">
      <c r="D316" s="15" t="str">
        <f aca="false">IF(OR(B316="",C316=""),"",B316-C316)</f>
        <v/>
      </c>
      <c r="E316" s="16" t="str">
        <f aca="false">IF(OR(B316="",C316=""),"",D316/C316)</f>
        <v/>
      </c>
    </row>
    <row r="317" customFormat="false" ht="15" hidden="false" customHeight="false" outlineLevel="0" collapsed="false">
      <c r="D317" s="15" t="str">
        <f aca="false">IF(OR(B317="",C317=""),"",B317-C317)</f>
        <v/>
      </c>
      <c r="E317" s="16" t="str">
        <f aca="false">IF(OR(B317="",C317=""),"",D317/C317)</f>
        <v/>
      </c>
    </row>
    <row r="318" customFormat="false" ht="15" hidden="false" customHeight="false" outlineLevel="0" collapsed="false">
      <c r="D318" s="15" t="str">
        <f aca="false">IF(OR(B318="",C318=""),"",B318-C318)</f>
        <v/>
      </c>
      <c r="E318" s="16" t="str">
        <f aca="false">IF(OR(B318="",C318=""),"",D318/C318)</f>
        <v/>
      </c>
    </row>
    <row r="319" customFormat="false" ht="15" hidden="false" customHeight="false" outlineLevel="0" collapsed="false">
      <c r="D319" s="15" t="str">
        <f aca="false">IF(OR(B319="",C319=""),"",B319-C319)</f>
        <v/>
      </c>
      <c r="E319" s="16" t="str">
        <f aca="false">IF(OR(B319="",C319=""),"",D319/C319)</f>
        <v/>
      </c>
    </row>
    <row r="320" customFormat="false" ht="15" hidden="false" customHeight="false" outlineLevel="0" collapsed="false">
      <c r="D320" s="15" t="str">
        <f aca="false">IF(OR(B320="",C320=""),"",B320-C320)</f>
        <v/>
      </c>
      <c r="E320" s="16" t="str">
        <f aca="false">IF(OR(B320="",C320=""),"",D320/C320)</f>
        <v/>
      </c>
    </row>
    <row r="321" customFormat="false" ht="15" hidden="false" customHeight="false" outlineLevel="0" collapsed="false">
      <c r="D321" s="15" t="str">
        <f aca="false">IF(OR(B321="",C321=""),"",B321-C321)</f>
        <v/>
      </c>
      <c r="E321" s="16" t="str">
        <f aca="false">IF(OR(B321="",C321=""),"",D321/C321)</f>
        <v/>
      </c>
    </row>
    <row r="322" customFormat="false" ht="15" hidden="false" customHeight="false" outlineLevel="0" collapsed="false">
      <c r="D322" s="15" t="str">
        <f aca="false">IF(OR(B322="",C322=""),"",B322-C322)</f>
        <v/>
      </c>
      <c r="E322" s="16" t="str">
        <f aca="false">IF(OR(B322="",C322=""),"",D322/C322)</f>
        <v/>
      </c>
    </row>
    <row r="323" customFormat="false" ht="15" hidden="false" customHeight="false" outlineLevel="0" collapsed="false">
      <c r="D323" s="15" t="str">
        <f aca="false">IF(OR(B323="",C323=""),"",B323-C323)</f>
        <v/>
      </c>
      <c r="E323" s="16" t="str">
        <f aca="false">IF(OR(B323="",C323=""),"",D323/C323)</f>
        <v/>
      </c>
    </row>
    <row r="324" customFormat="false" ht="15" hidden="false" customHeight="false" outlineLevel="0" collapsed="false">
      <c r="D324" s="15" t="str">
        <f aca="false">IF(OR(B324="",C324=""),"",B324-C324)</f>
        <v/>
      </c>
      <c r="E324" s="16" t="str">
        <f aca="false">IF(OR(B324="",C324=""),"",D324/C324)</f>
        <v/>
      </c>
    </row>
    <row r="325" customFormat="false" ht="15" hidden="false" customHeight="false" outlineLevel="0" collapsed="false">
      <c r="D325" s="15" t="str">
        <f aca="false">IF(OR(B325="",C325=""),"",B325-C325)</f>
        <v/>
      </c>
      <c r="E325" s="16" t="str">
        <f aca="false">IF(OR(B325="",C325=""),"",D325/C325)</f>
        <v/>
      </c>
    </row>
    <row r="326" customFormat="false" ht="15" hidden="false" customHeight="false" outlineLevel="0" collapsed="false">
      <c r="D326" s="15" t="str">
        <f aca="false">IF(OR(B326="",C326=""),"",B326-C326)</f>
        <v/>
      </c>
      <c r="E326" s="16" t="str">
        <f aca="false">IF(OR(B326="",C326=""),"",D326/C326)</f>
        <v/>
      </c>
    </row>
    <row r="327" customFormat="false" ht="15" hidden="false" customHeight="false" outlineLevel="0" collapsed="false">
      <c r="D327" s="15" t="str">
        <f aca="false">IF(OR(B327="",C327=""),"",B327-C327)</f>
        <v/>
      </c>
      <c r="E327" s="16" t="str">
        <f aca="false">IF(OR(B327="",C327=""),"",D327/C327)</f>
        <v/>
      </c>
    </row>
    <row r="328" customFormat="false" ht="15" hidden="false" customHeight="false" outlineLevel="0" collapsed="false">
      <c r="D328" s="15" t="str">
        <f aca="false">IF(OR(B328="",C328=""),"",B328-C328)</f>
        <v/>
      </c>
      <c r="E328" s="16" t="str">
        <f aca="false">IF(OR(B328="",C328=""),"",D328/C328)</f>
        <v/>
      </c>
    </row>
    <row r="329" customFormat="false" ht="15" hidden="false" customHeight="false" outlineLevel="0" collapsed="false">
      <c r="D329" s="15" t="str">
        <f aca="false">IF(OR(B329="",C329=""),"",B329-C329)</f>
        <v/>
      </c>
      <c r="E329" s="16" t="str">
        <f aca="false">IF(OR(B329="",C329=""),"",D329/C329)</f>
        <v/>
      </c>
    </row>
    <row r="330" customFormat="false" ht="15" hidden="false" customHeight="false" outlineLevel="0" collapsed="false">
      <c r="D330" s="15" t="str">
        <f aca="false">IF(OR(B330="",C330=""),"",B330-C330)</f>
        <v/>
      </c>
      <c r="E330" s="16" t="str">
        <f aca="false">IF(OR(B330="",C330=""),"",D330/C330)</f>
        <v/>
      </c>
    </row>
    <row r="331" customFormat="false" ht="15" hidden="false" customHeight="false" outlineLevel="0" collapsed="false">
      <c r="D331" s="15" t="str">
        <f aca="false">IF(OR(B331="",C331=""),"",B331-C331)</f>
        <v/>
      </c>
      <c r="E331" s="16" t="str">
        <f aca="false">IF(OR(B331="",C331=""),"",D331/C331)</f>
        <v/>
      </c>
    </row>
    <row r="332" customFormat="false" ht="15" hidden="false" customHeight="false" outlineLevel="0" collapsed="false">
      <c r="D332" s="15" t="str">
        <f aca="false">IF(OR(B332="",C332=""),"",B332-C332)</f>
        <v/>
      </c>
      <c r="E332" s="16" t="str">
        <f aca="false">IF(OR(B332="",C332=""),"",D332/C332)</f>
        <v/>
      </c>
    </row>
    <row r="333" customFormat="false" ht="15" hidden="false" customHeight="false" outlineLevel="0" collapsed="false">
      <c r="D333" s="15" t="str">
        <f aca="false">IF(OR(B333="",C333=""),"",B333-C333)</f>
        <v/>
      </c>
      <c r="E333" s="16" t="str">
        <f aca="false">IF(OR(B333="",C333=""),"",D333/C333)</f>
        <v/>
      </c>
    </row>
    <row r="334" customFormat="false" ht="15" hidden="false" customHeight="false" outlineLevel="0" collapsed="false">
      <c r="D334" s="15" t="str">
        <f aca="false">IF(OR(B334="",C334=""),"",B334-C334)</f>
        <v/>
      </c>
      <c r="E334" s="16" t="str">
        <f aca="false">IF(OR(B334="",C334=""),"",D334/C334)</f>
        <v/>
      </c>
    </row>
    <row r="335" customFormat="false" ht="15" hidden="false" customHeight="false" outlineLevel="0" collapsed="false">
      <c r="D335" s="15" t="str">
        <f aca="false">IF(OR(B335="",C335=""),"",B335-C335)</f>
        <v/>
      </c>
      <c r="E335" s="16" t="str">
        <f aca="false">IF(OR(B335="",C335=""),"",D335/C335)</f>
        <v/>
      </c>
    </row>
    <row r="336" customFormat="false" ht="15" hidden="false" customHeight="false" outlineLevel="0" collapsed="false">
      <c r="D336" s="15" t="str">
        <f aca="false">IF(OR(B336="",C336=""),"",B336-C336)</f>
        <v/>
      </c>
      <c r="E336" s="16" t="str">
        <f aca="false">IF(OR(B336="",C336=""),"",D336/C336)</f>
        <v/>
      </c>
    </row>
    <row r="337" customFormat="false" ht="15" hidden="false" customHeight="false" outlineLevel="0" collapsed="false">
      <c r="D337" s="15" t="str">
        <f aca="false">IF(OR(B337="",C337=""),"",B337-C337)</f>
        <v/>
      </c>
      <c r="E337" s="16" t="str">
        <f aca="false">IF(OR(B337="",C337=""),"",D337/C337)</f>
        <v/>
      </c>
    </row>
    <row r="338" customFormat="false" ht="15" hidden="false" customHeight="false" outlineLevel="0" collapsed="false">
      <c r="D338" s="15" t="str">
        <f aca="false">IF(OR(B338="",C338=""),"",B338-C338)</f>
        <v/>
      </c>
      <c r="E338" s="16" t="str">
        <f aca="false">IF(OR(B338="",C338=""),"",D338/C338)</f>
        <v/>
      </c>
    </row>
    <row r="339" customFormat="false" ht="15" hidden="false" customHeight="false" outlineLevel="0" collapsed="false">
      <c r="D339" s="15" t="str">
        <f aca="false">IF(OR(B339="",C339=""),"",B339-C339)</f>
        <v/>
      </c>
      <c r="E339" s="16" t="str">
        <f aca="false">IF(OR(B339="",C339=""),"",D339/C339)</f>
        <v/>
      </c>
    </row>
    <row r="340" customFormat="false" ht="15" hidden="false" customHeight="false" outlineLevel="0" collapsed="false">
      <c r="D340" s="15" t="str">
        <f aca="false">IF(OR(B340="",C340=""),"",B340-C340)</f>
        <v/>
      </c>
      <c r="E340" s="16" t="str">
        <f aca="false">IF(OR(B340="",C340=""),"",D340/C340)</f>
        <v/>
      </c>
    </row>
    <row r="341" customFormat="false" ht="15" hidden="false" customHeight="false" outlineLevel="0" collapsed="false">
      <c r="D341" s="15" t="str">
        <f aca="false">IF(OR(B341="",C341=""),"",B341-C341)</f>
        <v/>
      </c>
      <c r="E341" s="16" t="str">
        <f aca="false">IF(OR(B341="",C341=""),"",D341/C341)</f>
        <v/>
      </c>
    </row>
    <row r="342" customFormat="false" ht="15" hidden="false" customHeight="false" outlineLevel="0" collapsed="false">
      <c r="D342" s="15" t="str">
        <f aca="false">IF(OR(B342="",C342=""),"",B342-C342)</f>
        <v/>
      </c>
      <c r="E342" s="16" t="str">
        <f aca="false">IF(OR(B342="",C342=""),"",D342/C342)</f>
        <v/>
      </c>
    </row>
    <row r="343" customFormat="false" ht="15" hidden="false" customHeight="false" outlineLevel="0" collapsed="false">
      <c r="D343" s="15" t="str">
        <f aca="false">IF(OR(B343="",C343=""),"",B343-C343)</f>
        <v/>
      </c>
      <c r="E343" s="16" t="str">
        <f aca="false">IF(OR(B343="",C343=""),"",D343/C343)</f>
        <v/>
      </c>
    </row>
    <row r="344" customFormat="false" ht="15" hidden="false" customHeight="false" outlineLevel="0" collapsed="false">
      <c r="D344" s="15" t="str">
        <f aca="false">IF(OR(B344="",C344=""),"",B344-C344)</f>
        <v/>
      </c>
      <c r="E344" s="16" t="str">
        <f aca="false">IF(OR(B344="",C344=""),"",D344/C344)</f>
        <v/>
      </c>
    </row>
    <row r="345" customFormat="false" ht="15" hidden="false" customHeight="false" outlineLevel="0" collapsed="false">
      <c r="D345" s="15" t="str">
        <f aca="false">IF(OR(B345="",C345=""),"",B345-C345)</f>
        <v/>
      </c>
      <c r="E345" s="16" t="str">
        <f aca="false">IF(OR(B345="",C345=""),"",D345/C345)</f>
        <v/>
      </c>
    </row>
    <row r="346" customFormat="false" ht="15" hidden="false" customHeight="false" outlineLevel="0" collapsed="false">
      <c r="D346" s="15" t="str">
        <f aca="false">IF(OR(B346="",C346=""),"",B346-C346)</f>
        <v/>
      </c>
      <c r="E346" s="16" t="str">
        <f aca="false">IF(OR(B346="",C346=""),"",D346/C346)</f>
        <v/>
      </c>
    </row>
    <row r="347" customFormat="false" ht="15" hidden="false" customHeight="false" outlineLevel="0" collapsed="false">
      <c r="D347" s="15" t="str">
        <f aca="false">IF(OR(B347="",C347=""),"",B347-C347)</f>
        <v/>
      </c>
      <c r="E347" s="16" t="str">
        <f aca="false">IF(OR(B347="",C347=""),"",D347/C347)</f>
        <v/>
      </c>
    </row>
    <row r="348" customFormat="false" ht="15" hidden="false" customHeight="false" outlineLevel="0" collapsed="false">
      <c r="D348" s="15" t="str">
        <f aca="false">IF(OR(B348="",C348=""),"",B348-C348)</f>
        <v/>
      </c>
      <c r="E348" s="16" t="str">
        <f aca="false">IF(OR(B348="",C348=""),"",D348/C348)</f>
        <v/>
      </c>
    </row>
    <row r="349" customFormat="false" ht="15" hidden="false" customHeight="false" outlineLevel="0" collapsed="false">
      <c r="D349" s="15" t="str">
        <f aca="false">IF(OR(B349="",C349=""),"",B349-C349)</f>
        <v/>
      </c>
      <c r="E349" s="16" t="str">
        <f aca="false">IF(OR(B349="",C349=""),"",D349/C349)</f>
        <v/>
      </c>
    </row>
    <row r="350" customFormat="false" ht="15" hidden="false" customHeight="false" outlineLevel="0" collapsed="false">
      <c r="D350" s="15" t="str">
        <f aca="false">IF(OR(B350="",C350=""),"",B350-C350)</f>
        <v/>
      </c>
      <c r="E350" s="16" t="str">
        <f aca="false">IF(OR(B350="",C350=""),"",D350/C350)</f>
        <v/>
      </c>
    </row>
    <row r="351" customFormat="false" ht="15" hidden="false" customHeight="false" outlineLevel="0" collapsed="false">
      <c r="D351" s="15" t="str">
        <f aca="false">IF(OR(B351="",C351=""),"",B351-C351)</f>
        <v/>
      </c>
      <c r="E351" s="16" t="str">
        <f aca="false">IF(OR(B351="",C351=""),"",D351/C351)</f>
        <v/>
      </c>
    </row>
    <row r="352" customFormat="false" ht="15" hidden="false" customHeight="false" outlineLevel="0" collapsed="false">
      <c r="D352" s="15" t="str">
        <f aca="false">IF(OR(B352="",C352=""),"",B352-C352)</f>
        <v/>
      </c>
      <c r="E352" s="16" t="str">
        <f aca="false">IF(OR(B352="",C352=""),"",D352/C352)</f>
        <v/>
      </c>
    </row>
    <row r="353" customFormat="false" ht="15" hidden="false" customHeight="false" outlineLevel="0" collapsed="false">
      <c r="D353" s="15" t="str">
        <f aca="false">IF(OR(B353="",C353=""),"",B353-C353)</f>
        <v/>
      </c>
      <c r="E353" s="16" t="str">
        <f aca="false">IF(OR(B353="",C353=""),"",D353/C353)</f>
        <v/>
      </c>
    </row>
    <row r="354" customFormat="false" ht="15" hidden="false" customHeight="false" outlineLevel="0" collapsed="false">
      <c r="D354" s="15" t="str">
        <f aca="false">IF(OR(B354="",C354=""),"",B354-C354)</f>
        <v/>
      </c>
      <c r="E354" s="16" t="str">
        <f aca="false">IF(OR(B354="",C354=""),"",D354/C354)</f>
        <v/>
      </c>
    </row>
    <row r="355" customFormat="false" ht="15" hidden="false" customHeight="false" outlineLevel="0" collapsed="false">
      <c r="D355" s="15" t="str">
        <f aca="false">IF(OR(B355="",C355=""),"",B355-C355)</f>
        <v/>
      </c>
      <c r="E355" s="16" t="str">
        <f aca="false">IF(OR(B355="",C355=""),"",D355/C355)</f>
        <v/>
      </c>
    </row>
    <row r="356" customFormat="false" ht="15" hidden="false" customHeight="false" outlineLevel="0" collapsed="false">
      <c r="D356" s="15" t="str">
        <f aca="false">IF(OR(B356="",C356=""),"",B356-C356)</f>
        <v/>
      </c>
      <c r="E356" s="16" t="str">
        <f aca="false">IF(OR(B356="",C356=""),"",D356/C356)</f>
        <v/>
      </c>
    </row>
    <row r="357" customFormat="false" ht="15" hidden="false" customHeight="false" outlineLevel="0" collapsed="false">
      <c r="D357" s="15" t="str">
        <f aca="false">IF(OR(B357="",C357=""),"",B357-C357)</f>
        <v/>
      </c>
      <c r="E357" s="16" t="str">
        <f aca="false">IF(OR(B357="",C357=""),"",D357/C357)</f>
        <v/>
      </c>
    </row>
    <row r="358" customFormat="false" ht="15" hidden="false" customHeight="false" outlineLevel="0" collapsed="false">
      <c r="D358" s="15" t="str">
        <f aca="false">IF(OR(B358="",C358=""),"",B358-C358)</f>
        <v/>
      </c>
      <c r="E358" s="16" t="str">
        <f aca="false">IF(OR(B358="",C358=""),"",D358/C358)</f>
        <v/>
      </c>
    </row>
    <row r="359" customFormat="false" ht="15" hidden="false" customHeight="false" outlineLevel="0" collapsed="false">
      <c r="D359" s="15" t="str">
        <f aca="false">IF(OR(B359="",C359=""),"",B359-C359)</f>
        <v/>
      </c>
      <c r="E359" s="16" t="str">
        <f aca="false">IF(OR(B359="",C359=""),"",D359/C359)</f>
        <v/>
      </c>
    </row>
    <row r="360" customFormat="false" ht="15" hidden="false" customHeight="false" outlineLevel="0" collapsed="false">
      <c r="D360" s="15" t="str">
        <f aca="false">IF(OR(B360="",C360=""),"",B360-C360)</f>
        <v/>
      </c>
      <c r="E360" s="16" t="str">
        <f aca="false">IF(OR(B360="",C360=""),"",D360/C360)</f>
        <v/>
      </c>
    </row>
    <row r="361" customFormat="false" ht="15" hidden="false" customHeight="false" outlineLevel="0" collapsed="false">
      <c r="D361" s="15" t="str">
        <f aca="false">IF(OR(B361="",C361=""),"",B361-C361)</f>
        <v/>
      </c>
      <c r="E361" s="16" t="str">
        <f aca="false">IF(OR(B361="",C361=""),"",D361/C361)</f>
        <v/>
      </c>
    </row>
    <row r="362" customFormat="false" ht="15" hidden="false" customHeight="false" outlineLevel="0" collapsed="false">
      <c r="D362" s="15" t="str">
        <f aca="false">IF(OR(B362="",C362=""),"",B362-C362)</f>
        <v/>
      </c>
      <c r="E362" s="16" t="str">
        <f aca="false">IF(OR(B362="",C362=""),"",D362/C362)</f>
        <v/>
      </c>
    </row>
    <row r="363" customFormat="false" ht="15" hidden="false" customHeight="false" outlineLevel="0" collapsed="false">
      <c r="D363" s="15" t="str">
        <f aca="false">IF(OR(B363="",C363=""),"",B363-C363)</f>
        <v/>
      </c>
      <c r="E363" s="16" t="str">
        <f aca="false">IF(OR(B363="",C363=""),"",D363/C363)</f>
        <v/>
      </c>
    </row>
    <row r="364" customFormat="false" ht="15" hidden="false" customHeight="false" outlineLevel="0" collapsed="false">
      <c r="D364" s="15" t="str">
        <f aca="false">IF(OR(B364="",C364=""),"",B364-C364)</f>
        <v/>
      </c>
      <c r="E364" s="16" t="str">
        <f aca="false">IF(OR(B364="",C364=""),"",D364/C364)</f>
        <v/>
      </c>
    </row>
    <row r="365" customFormat="false" ht="15" hidden="false" customHeight="false" outlineLevel="0" collapsed="false">
      <c r="D365" s="15" t="str">
        <f aca="false">IF(OR(B365="",C365=""),"",B365-C365)</f>
        <v/>
      </c>
      <c r="E365" s="16" t="str">
        <f aca="false">IF(OR(B365="",C365=""),"",D365/C365)</f>
        <v/>
      </c>
    </row>
    <row r="366" customFormat="false" ht="15" hidden="false" customHeight="false" outlineLevel="0" collapsed="false">
      <c r="D366" s="15" t="str">
        <f aca="false">IF(OR(B366="",C366=""),"",B366-C366)</f>
        <v/>
      </c>
      <c r="E366" s="16" t="str">
        <f aca="false">IF(OR(B366="",C366=""),"",D366/C366)</f>
        <v/>
      </c>
    </row>
    <row r="367" customFormat="false" ht="15" hidden="false" customHeight="false" outlineLevel="0" collapsed="false">
      <c r="D367" s="15" t="str">
        <f aca="false">IF(OR(B367="",C367=""),"",B367-C367)</f>
        <v/>
      </c>
      <c r="E367" s="16" t="str">
        <f aca="false">IF(OR(B367="",C367=""),"",D367/C367)</f>
        <v/>
      </c>
    </row>
    <row r="368" customFormat="false" ht="15" hidden="false" customHeight="false" outlineLevel="0" collapsed="false">
      <c r="D368" s="15" t="str">
        <f aca="false">IF(OR(B368="",C368=""),"",B368-C368)</f>
        <v/>
      </c>
      <c r="E368" s="16" t="str">
        <f aca="false">IF(OR(B368="",C368=""),"",D368/C368)</f>
        <v/>
      </c>
    </row>
    <row r="369" customFormat="false" ht="15" hidden="false" customHeight="false" outlineLevel="0" collapsed="false">
      <c r="D369" s="15" t="str">
        <f aca="false">IF(OR(B369="",C369=""),"",B369-C369)</f>
        <v/>
      </c>
      <c r="E369" s="16" t="str">
        <f aca="false">IF(OR(B369="",C369=""),"",D369/C369)</f>
        <v/>
      </c>
    </row>
    <row r="370" customFormat="false" ht="15" hidden="false" customHeight="false" outlineLevel="0" collapsed="false">
      <c r="D370" s="15" t="str">
        <f aca="false">IF(OR(B370="",C370=""),"",B370-C370)</f>
        <v/>
      </c>
      <c r="E370" s="16" t="str">
        <f aca="false">IF(OR(B370="",C370=""),"",D370/C370)</f>
        <v/>
      </c>
    </row>
    <row r="371" customFormat="false" ht="15" hidden="false" customHeight="false" outlineLevel="0" collapsed="false">
      <c r="D371" s="15" t="str">
        <f aca="false">IF(OR(B371="",C371=""),"",B371-C371)</f>
        <v/>
      </c>
      <c r="E371" s="16" t="str">
        <f aca="false">IF(OR(B371="",C371=""),"",D371/C371)</f>
        <v/>
      </c>
    </row>
    <row r="372" customFormat="false" ht="15" hidden="false" customHeight="false" outlineLevel="0" collapsed="false">
      <c r="D372" s="15" t="str">
        <f aca="false">IF(OR(B372="",C372=""),"",B372-C372)</f>
        <v/>
      </c>
      <c r="E372" s="16" t="str">
        <f aca="false">IF(OR(B372="",C372=""),"",D372/C372)</f>
        <v/>
      </c>
    </row>
    <row r="373" customFormat="false" ht="15" hidden="false" customHeight="false" outlineLevel="0" collapsed="false">
      <c r="D373" s="15" t="str">
        <f aca="false">IF(OR(B373="",C373=""),"",B373-C373)</f>
        <v/>
      </c>
      <c r="E373" s="16" t="str">
        <f aca="false">IF(OR(B373="",C373=""),"",D373/C373)</f>
        <v/>
      </c>
    </row>
    <row r="374" customFormat="false" ht="15" hidden="false" customHeight="false" outlineLevel="0" collapsed="false">
      <c r="D374" s="15" t="str">
        <f aca="false">IF(OR(B374="",C374=""),"",B374-C374)</f>
        <v/>
      </c>
      <c r="E374" s="16" t="str">
        <f aca="false">IF(OR(B374="",C374=""),"",D374/C374)</f>
        <v/>
      </c>
    </row>
    <row r="375" customFormat="false" ht="15" hidden="false" customHeight="false" outlineLevel="0" collapsed="false">
      <c r="D375" s="15" t="str">
        <f aca="false">IF(OR(B375="",C375=""),"",B375-C375)</f>
        <v/>
      </c>
      <c r="E375" s="16" t="str">
        <f aca="false">IF(OR(B375="",C375=""),"",D375/C375)</f>
        <v/>
      </c>
    </row>
    <row r="376" customFormat="false" ht="15" hidden="false" customHeight="false" outlineLevel="0" collapsed="false">
      <c r="D376" s="15" t="str">
        <f aca="false">IF(OR(B376="",C376=""),"",B376-C376)</f>
        <v/>
      </c>
      <c r="E376" s="16" t="str">
        <f aca="false">IF(OR(B376="",C376=""),"",D376/C376)</f>
        <v/>
      </c>
    </row>
    <row r="377" customFormat="false" ht="15" hidden="false" customHeight="false" outlineLevel="0" collapsed="false">
      <c r="D377" s="15" t="str">
        <f aca="false">IF(OR(B377="",C377=""),"",B377-C377)</f>
        <v/>
      </c>
      <c r="E377" s="16" t="str">
        <f aca="false">IF(OR(B377="",C377=""),"",D377/C377)</f>
        <v/>
      </c>
    </row>
    <row r="378" customFormat="false" ht="15" hidden="false" customHeight="false" outlineLevel="0" collapsed="false">
      <c r="D378" s="15" t="str">
        <f aca="false">IF(OR(B378="",C378=""),"",B378-C378)</f>
        <v/>
      </c>
      <c r="E378" s="16" t="str">
        <f aca="false">IF(OR(B378="",C378=""),"",D378/C378)</f>
        <v/>
      </c>
    </row>
    <row r="379" customFormat="false" ht="15" hidden="false" customHeight="false" outlineLevel="0" collapsed="false">
      <c r="D379" s="15" t="str">
        <f aca="false">IF(OR(B379="",C379=""),"",B379-C379)</f>
        <v/>
      </c>
      <c r="E379" s="16" t="str">
        <f aca="false">IF(OR(B379="",C379=""),"",D379/C379)</f>
        <v/>
      </c>
    </row>
    <row r="380" customFormat="false" ht="15" hidden="false" customHeight="false" outlineLevel="0" collapsed="false">
      <c r="D380" s="15" t="str">
        <f aca="false">IF(OR(B380="",C380=""),"",B380-C380)</f>
        <v/>
      </c>
      <c r="E380" s="16" t="str">
        <f aca="false">IF(OR(B380="",C380=""),"",D380/C380)</f>
        <v/>
      </c>
    </row>
    <row r="381" customFormat="false" ht="15" hidden="false" customHeight="false" outlineLevel="0" collapsed="false">
      <c r="D381" s="15" t="str">
        <f aca="false">IF(OR(B381="",C381=""),"",B381-C381)</f>
        <v/>
      </c>
      <c r="E381" s="16" t="str">
        <f aca="false">IF(OR(B381="",C381=""),"",D381/C381)</f>
        <v/>
      </c>
    </row>
    <row r="382" customFormat="false" ht="15" hidden="false" customHeight="false" outlineLevel="0" collapsed="false">
      <c r="D382" s="15" t="str">
        <f aca="false">IF(OR(B382="",C382=""),"",B382-C382)</f>
        <v/>
      </c>
      <c r="E382" s="16" t="str">
        <f aca="false">IF(OR(B382="",C382=""),"",D382/C382)</f>
        <v/>
      </c>
    </row>
    <row r="383" customFormat="false" ht="15" hidden="false" customHeight="false" outlineLevel="0" collapsed="false">
      <c r="D383" s="15" t="str">
        <f aca="false">IF(OR(B383="",C383=""),"",B383-C383)</f>
        <v/>
      </c>
      <c r="E383" s="16" t="str">
        <f aca="false">IF(OR(B383="",C383=""),"",D383/C383)</f>
        <v/>
      </c>
    </row>
    <row r="384" customFormat="false" ht="15" hidden="false" customHeight="false" outlineLevel="0" collapsed="false">
      <c r="D384" s="15" t="str">
        <f aca="false">IF(OR(B384="",C384=""),"",B384-C384)</f>
        <v/>
      </c>
      <c r="E384" s="16" t="str">
        <f aca="false">IF(OR(B384="",C384=""),"",D384/C384)</f>
        <v/>
      </c>
    </row>
    <row r="385" customFormat="false" ht="15" hidden="false" customHeight="false" outlineLevel="0" collapsed="false">
      <c r="D385" s="15" t="str">
        <f aca="false">IF(OR(B385="",C385=""),"",B385-C385)</f>
        <v/>
      </c>
      <c r="E385" s="16" t="str">
        <f aca="false">IF(OR(B385="",C385=""),"",D385/C385)</f>
        <v/>
      </c>
    </row>
    <row r="386" customFormat="false" ht="15" hidden="false" customHeight="false" outlineLevel="0" collapsed="false">
      <c r="D386" s="15" t="str">
        <f aca="false">IF(OR(B386="",C386=""),"",B386-C386)</f>
        <v/>
      </c>
      <c r="E386" s="16" t="str">
        <f aca="false">IF(OR(B386="",C386=""),"",D386/C386)</f>
        <v/>
      </c>
    </row>
    <row r="387" customFormat="false" ht="15" hidden="false" customHeight="false" outlineLevel="0" collapsed="false">
      <c r="D387" s="15" t="str">
        <f aca="false">IF(OR(B387="",C387=""),"",B387-C387)</f>
        <v/>
      </c>
      <c r="E387" s="16" t="str">
        <f aca="false">IF(OR(B387="",C387=""),"",D387/C387)</f>
        <v/>
      </c>
    </row>
    <row r="388" customFormat="false" ht="15" hidden="false" customHeight="false" outlineLevel="0" collapsed="false">
      <c r="D388" s="15" t="str">
        <f aca="false">IF(OR(B388="",C388=""),"",B388-C388)</f>
        <v/>
      </c>
      <c r="E388" s="16" t="str">
        <f aca="false">IF(OR(B388="",C388=""),"",D388/C388)</f>
        <v/>
      </c>
    </row>
    <row r="389" customFormat="false" ht="15" hidden="false" customHeight="false" outlineLevel="0" collapsed="false">
      <c r="D389" s="15" t="str">
        <f aca="false">IF(OR(B389="",C389=""),"",B389-C389)</f>
        <v/>
      </c>
      <c r="E389" s="16" t="str">
        <f aca="false">IF(OR(B389="",C389=""),"",D389/C389)</f>
        <v/>
      </c>
    </row>
    <row r="390" customFormat="false" ht="15" hidden="false" customHeight="false" outlineLevel="0" collapsed="false">
      <c r="D390" s="15" t="str">
        <f aca="false">IF(OR(B390="",C390=""),"",B390-C390)</f>
        <v/>
      </c>
      <c r="E390" s="16" t="str">
        <f aca="false">IF(OR(B390="",C390=""),"",D390/C390)</f>
        <v/>
      </c>
    </row>
    <row r="391" customFormat="false" ht="15" hidden="false" customHeight="false" outlineLevel="0" collapsed="false">
      <c r="D391" s="15" t="str">
        <f aca="false">IF(OR(B391="",C391=""),"",B391-C391)</f>
        <v/>
      </c>
      <c r="E391" s="16" t="str">
        <f aca="false">IF(OR(B391="",C391=""),"",D391/C391)</f>
        <v/>
      </c>
    </row>
    <row r="392" customFormat="false" ht="15" hidden="false" customHeight="false" outlineLevel="0" collapsed="false">
      <c r="D392" s="15" t="str">
        <f aca="false">IF(OR(B392="",C392=""),"",B392-C392)</f>
        <v/>
      </c>
      <c r="E392" s="16" t="str">
        <f aca="false">IF(OR(B392="",C392=""),"",D392/C392)</f>
        <v/>
      </c>
    </row>
    <row r="393" customFormat="false" ht="15" hidden="false" customHeight="false" outlineLevel="0" collapsed="false">
      <c r="D393" s="15" t="str">
        <f aca="false">IF(OR(B393="",C393=""),"",B393-C393)</f>
        <v/>
      </c>
      <c r="E393" s="16" t="str">
        <f aca="false">IF(OR(B393="",C393=""),"",D393/C393)</f>
        <v/>
      </c>
    </row>
    <row r="394" customFormat="false" ht="15" hidden="false" customHeight="false" outlineLevel="0" collapsed="false">
      <c r="D394" s="15" t="str">
        <f aca="false">IF(OR(B394="",C394=""),"",B394-C394)</f>
        <v/>
      </c>
      <c r="E394" s="16" t="str">
        <f aca="false">IF(OR(B394="",C394=""),"",D394/C394)</f>
        <v/>
      </c>
    </row>
    <row r="395" customFormat="false" ht="15" hidden="false" customHeight="false" outlineLevel="0" collapsed="false">
      <c r="D395" s="15" t="str">
        <f aca="false">IF(OR(B395="",C395=""),"",B395-C395)</f>
        <v/>
      </c>
      <c r="E395" s="16" t="str">
        <f aca="false">IF(OR(B395="",C395=""),"",D395/C395)</f>
        <v/>
      </c>
    </row>
    <row r="396" customFormat="false" ht="15" hidden="false" customHeight="false" outlineLevel="0" collapsed="false">
      <c r="D396" s="15" t="str">
        <f aca="false">IF(OR(B396="",C396=""),"",B396-C396)</f>
        <v/>
      </c>
      <c r="E396" s="16" t="str">
        <f aca="false">IF(OR(B396="",C396=""),"",D396/C396)</f>
        <v/>
      </c>
    </row>
    <row r="397" customFormat="false" ht="15" hidden="false" customHeight="false" outlineLevel="0" collapsed="false">
      <c r="D397" s="15" t="str">
        <f aca="false">IF(OR(B397="",C397=""),"",B397-C397)</f>
        <v/>
      </c>
      <c r="E397" s="16" t="str">
        <f aca="false">IF(OR(B397="",C397=""),"",D397/C397)</f>
        <v/>
      </c>
    </row>
    <row r="398" customFormat="false" ht="15" hidden="false" customHeight="false" outlineLevel="0" collapsed="false">
      <c r="D398" s="15" t="str">
        <f aca="false">IF(OR(B398="",C398=""),"",B398-C398)</f>
        <v/>
      </c>
      <c r="E398" s="16" t="str">
        <f aca="false">IF(OR(B398="",C398=""),"",D398/C398)</f>
        <v/>
      </c>
    </row>
    <row r="399" customFormat="false" ht="15" hidden="false" customHeight="false" outlineLevel="0" collapsed="false">
      <c r="D399" s="15" t="str">
        <f aca="false">IF(OR(B399="",C399=""),"",B399-C399)</f>
        <v/>
      </c>
      <c r="E399" s="16" t="str">
        <f aca="false">IF(OR(B399="",C399=""),"",D399/C399)</f>
        <v/>
      </c>
    </row>
  </sheetData>
  <dataValidations count="1">
    <dataValidation allowBlank="true" errorStyle="stop" operator="between" showDropDown="false" showErrorMessage="false" showInputMessage="false" sqref="O2:O399" type="list">
      <formula1>"Bullish,Mild Bullish,Neutral,Mild Bearish,Bearish,Volatile"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11" min="9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60"/>
    <col collapsed="false" customWidth="true" hidden="false" outlineLevel="0" max="16" min="15" style="0" width="12"/>
  </cols>
  <sheetData>
    <row r="1" customFormat="false" ht="31.5" hidden="false" customHeight="true" outlineLevel="0" collapsed="false">
      <c r="A1" s="4" t="s">
        <v>48</v>
      </c>
      <c r="B1" s="4" t="s">
        <v>29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  <c r="P1" s="4" t="s">
        <v>62</v>
      </c>
    </row>
    <row r="2" customFormat="false" ht="23.85" hidden="false" customHeight="false" outlineLevel="0" collapsed="false">
      <c r="A2" s="10" t="s">
        <v>63</v>
      </c>
      <c r="B2" s="10" t="s">
        <v>45</v>
      </c>
      <c r="C2" s="10" t="s">
        <v>64</v>
      </c>
      <c r="D2" s="10" t="s">
        <v>65</v>
      </c>
      <c r="E2" s="10" t="s">
        <v>66</v>
      </c>
      <c r="F2" s="10" t="s">
        <v>67</v>
      </c>
      <c r="G2" s="10" t="s">
        <v>68</v>
      </c>
      <c r="H2" s="10" t="n">
        <v>95</v>
      </c>
      <c r="I2" s="10" t="n">
        <v>75</v>
      </c>
      <c r="J2" s="10" t="n">
        <v>125</v>
      </c>
      <c r="K2" s="10" t="n">
        <v>150</v>
      </c>
      <c r="L2" s="17" t="n">
        <f aca="false">IF(OR(H2="",I2="",J2=""),"",IF(H2=I2,"",ABS(J2-H2)/ABS(H2-I2)))</f>
        <v>1.5</v>
      </c>
      <c r="M2" s="18" t="n">
        <f aca="false">IF(OR(H2="",I2="",H2=I2),"",ROUNDDOWN(Config!$B$11/ABS(H2-I2),0))</f>
        <v>250</v>
      </c>
      <c r="N2" s="19" t="s">
        <v>69</v>
      </c>
      <c r="O2" s="10" t="n">
        <v>3</v>
      </c>
      <c r="P2" s="10" t="s">
        <v>45</v>
      </c>
    </row>
    <row r="3" customFormat="false" ht="15" hidden="false" customHeight="false" outlineLevel="0" collapsed="false">
      <c r="L3" s="20" t="str">
        <f aca="false">IF(OR(H3="",I3="",J3=""),"",IF(H3=I3,"",ABS(J3-H3)/ABS(H3-I3)))</f>
        <v/>
      </c>
      <c r="M3" s="9" t="str">
        <f aca="false">IF(OR(H3="",I3="",H3=I3),"",ROUNDDOWN(Config!$B$11/ABS(H3-I3),0))</f>
        <v/>
      </c>
    </row>
    <row r="4" customFormat="false" ht="15" hidden="false" customHeight="false" outlineLevel="0" collapsed="false">
      <c r="L4" s="20" t="str">
        <f aca="false">IF(OR(H4="",I4="",J4=""),"",IF(H4=I4,"",ABS(J4-H4)/ABS(H4-I4)))</f>
        <v/>
      </c>
      <c r="M4" s="9" t="str">
        <f aca="false">IF(OR(H4="",I4="",H4=I4),"",ROUNDDOWN(Config!$B$11/ABS(H4-I4),0))</f>
        <v/>
      </c>
    </row>
    <row r="5" customFormat="false" ht="15" hidden="false" customHeight="false" outlineLevel="0" collapsed="false">
      <c r="L5" s="20" t="str">
        <f aca="false">IF(OR(H5="",I5="",J5=""),"",IF(H5=I5,"",ABS(J5-H5)/ABS(H5-I5)))</f>
        <v/>
      </c>
      <c r="M5" s="9" t="str">
        <f aca="false">IF(OR(H5="",I5="",H5=I5),"",ROUNDDOWN(Config!$B$11/ABS(H5-I5),0))</f>
        <v/>
      </c>
    </row>
    <row r="6" customFormat="false" ht="15" hidden="false" customHeight="false" outlineLevel="0" collapsed="false">
      <c r="L6" s="20" t="str">
        <f aca="false">IF(OR(H6="",I6="",J6=""),"",IF(H6=I6,"",ABS(J6-H6)/ABS(H6-I6)))</f>
        <v/>
      </c>
      <c r="M6" s="9" t="str">
        <f aca="false">IF(OR(H6="",I6="",H6=I6),"",ROUNDDOWN(Config!$B$11/ABS(H6-I6),0))</f>
        <v/>
      </c>
    </row>
    <row r="7" customFormat="false" ht="15" hidden="false" customHeight="false" outlineLevel="0" collapsed="false">
      <c r="L7" s="20" t="str">
        <f aca="false">IF(OR(H7="",I7="",J7=""),"",IF(H7=I7,"",ABS(J7-H7)/ABS(H7-I7)))</f>
        <v/>
      </c>
      <c r="M7" s="9" t="str">
        <f aca="false">IF(OR(H7="",I7="",H7=I7),"",ROUNDDOWN(Config!$B$11/ABS(H7-I7),0))</f>
        <v/>
      </c>
    </row>
    <row r="8" customFormat="false" ht="15" hidden="false" customHeight="false" outlineLevel="0" collapsed="false">
      <c r="L8" s="20" t="str">
        <f aca="false">IF(OR(H8="",I8="",J8=""),"",IF(H8=I8,"",ABS(J8-H8)/ABS(H8-I8)))</f>
        <v/>
      </c>
      <c r="M8" s="9" t="str">
        <f aca="false">IF(OR(H8="",I8="",H8=I8),"",ROUNDDOWN(Config!$B$11/ABS(H8-I8),0))</f>
        <v/>
      </c>
    </row>
    <row r="9" customFormat="false" ht="15" hidden="false" customHeight="false" outlineLevel="0" collapsed="false">
      <c r="L9" s="20" t="str">
        <f aca="false">IF(OR(H9="",I9="",J9=""),"",IF(H9=I9,"",ABS(J9-H9)/ABS(H9-I9)))</f>
        <v/>
      </c>
      <c r="M9" s="9" t="str">
        <f aca="false">IF(OR(H9="",I9="",H9=I9),"",ROUNDDOWN(Config!$B$11/ABS(H9-I9),0))</f>
        <v/>
      </c>
    </row>
    <row r="10" customFormat="false" ht="15" hidden="false" customHeight="false" outlineLevel="0" collapsed="false">
      <c r="L10" s="20" t="str">
        <f aca="false">IF(OR(H10="",I10="",J10=""),"",IF(H10=I10,"",ABS(J10-H10)/ABS(H10-I10)))</f>
        <v/>
      </c>
      <c r="M10" s="9" t="str">
        <f aca="false">IF(OR(H10="",I10="",H10=I10),"",ROUNDDOWN(Config!$B$11/ABS(H10-I10),0))</f>
        <v/>
      </c>
    </row>
    <row r="11" customFormat="false" ht="15" hidden="false" customHeight="false" outlineLevel="0" collapsed="false">
      <c r="L11" s="20" t="str">
        <f aca="false">IF(OR(H11="",I11="",J11=""),"",IF(H11=I11,"",ABS(J11-H11)/ABS(H11-I11)))</f>
        <v/>
      </c>
      <c r="M11" s="9" t="str">
        <f aca="false">IF(OR(H11="",I11="",H11=I11),"",ROUNDDOWN(Config!$B$11/ABS(H11-I11),0))</f>
        <v/>
      </c>
    </row>
    <row r="12" customFormat="false" ht="15" hidden="false" customHeight="false" outlineLevel="0" collapsed="false">
      <c r="L12" s="20" t="str">
        <f aca="false">IF(OR(H12="",I12="",J12=""),"",IF(H12=I12,"",ABS(J12-H12)/ABS(H12-I12)))</f>
        <v/>
      </c>
      <c r="M12" s="9" t="str">
        <f aca="false">IF(OR(H12="",I12="",H12=I12),"",ROUNDDOWN(Config!$B$11/ABS(H12-I12),0))</f>
        <v/>
      </c>
    </row>
    <row r="13" customFormat="false" ht="15" hidden="false" customHeight="false" outlineLevel="0" collapsed="false">
      <c r="L13" s="20" t="str">
        <f aca="false">IF(OR(H13="",I13="",J13=""),"",IF(H13=I13,"",ABS(J13-H13)/ABS(H13-I13)))</f>
        <v/>
      </c>
      <c r="M13" s="9" t="str">
        <f aca="false">IF(OR(H13="",I13="",H13=I13),"",ROUNDDOWN(Config!$B$11/ABS(H13-I13),0))</f>
        <v/>
      </c>
    </row>
    <row r="14" customFormat="false" ht="15" hidden="false" customHeight="false" outlineLevel="0" collapsed="false">
      <c r="L14" s="20" t="str">
        <f aca="false">IF(OR(H14="",I14="",J14=""),"",IF(H14=I14,"",ABS(J14-H14)/ABS(H14-I14)))</f>
        <v/>
      </c>
      <c r="M14" s="9" t="str">
        <f aca="false">IF(OR(H14="",I14="",H14=I14),"",ROUNDDOWN(Config!$B$11/ABS(H14-I14),0))</f>
        <v/>
      </c>
    </row>
    <row r="15" customFormat="false" ht="15" hidden="false" customHeight="false" outlineLevel="0" collapsed="false">
      <c r="L15" s="20" t="str">
        <f aca="false">IF(OR(H15="",I15="",J15=""),"",IF(H15=I15,"",ABS(J15-H15)/ABS(H15-I15)))</f>
        <v/>
      </c>
      <c r="M15" s="9" t="str">
        <f aca="false">IF(OR(H15="",I15="",H15=I15),"",ROUNDDOWN(Config!$B$11/ABS(H15-I15),0))</f>
        <v/>
      </c>
    </row>
    <row r="16" customFormat="false" ht="15" hidden="false" customHeight="false" outlineLevel="0" collapsed="false">
      <c r="L16" s="20" t="str">
        <f aca="false">IF(OR(H16="",I16="",J16=""),"",IF(H16=I16,"",ABS(J16-H16)/ABS(H16-I16)))</f>
        <v/>
      </c>
      <c r="M16" s="9" t="str">
        <f aca="false">IF(OR(H16="",I16="",H16=I16),"",ROUNDDOWN(Config!$B$11/ABS(H16-I16),0))</f>
        <v/>
      </c>
    </row>
    <row r="17" customFormat="false" ht="15" hidden="false" customHeight="false" outlineLevel="0" collapsed="false">
      <c r="L17" s="20" t="str">
        <f aca="false">IF(OR(H17="",I17="",J17=""),"",IF(H17=I17,"",ABS(J17-H17)/ABS(H17-I17)))</f>
        <v/>
      </c>
      <c r="M17" s="9" t="str">
        <f aca="false">IF(OR(H17="",I17="",H17=I17),"",ROUNDDOWN(Config!$B$11/ABS(H17-I17),0))</f>
        <v/>
      </c>
    </row>
    <row r="18" customFormat="false" ht="15" hidden="false" customHeight="false" outlineLevel="0" collapsed="false">
      <c r="L18" s="20" t="str">
        <f aca="false">IF(OR(H18="",I18="",J18=""),"",IF(H18=I18,"",ABS(J18-H18)/ABS(H18-I18)))</f>
        <v/>
      </c>
      <c r="M18" s="9" t="str">
        <f aca="false">IF(OR(H18="",I18="",H18=I18),"",ROUNDDOWN(Config!$B$11/ABS(H18-I18),0))</f>
        <v/>
      </c>
    </row>
    <row r="19" customFormat="false" ht="15" hidden="false" customHeight="false" outlineLevel="0" collapsed="false">
      <c r="L19" s="20" t="str">
        <f aca="false">IF(OR(H19="",I19="",J19=""),"",IF(H19=I19,"",ABS(J19-H19)/ABS(H19-I19)))</f>
        <v/>
      </c>
      <c r="M19" s="9" t="str">
        <f aca="false">IF(OR(H19="",I19="",H19=I19),"",ROUNDDOWN(Config!$B$11/ABS(H19-I19),0))</f>
        <v/>
      </c>
    </row>
    <row r="20" customFormat="false" ht="15" hidden="false" customHeight="false" outlineLevel="0" collapsed="false">
      <c r="L20" s="20" t="str">
        <f aca="false">IF(OR(H20="",I20="",J20=""),"",IF(H20=I20,"",ABS(J20-H20)/ABS(H20-I20)))</f>
        <v/>
      </c>
      <c r="M20" s="9" t="str">
        <f aca="false">IF(OR(H20="",I20="",H20=I20),"",ROUNDDOWN(Config!$B$11/ABS(H20-I20),0))</f>
        <v/>
      </c>
    </row>
    <row r="21" customFormat="false" ht="15" hidden="false" customHeight="false" outlineLevel="0" collapsed="false">
      <c r="L21" s="20" t="str">
        <f aca="false">IF(OR(H21="",I21="",J21=""),"",IF(H21=I21,"",ABS(J21-H21)/ABS(H21-I21)))</f>
        <v/>
      </c>
      <c r="M21" s="9" t="str">
        <f aca="false">IF(OR(H21="",I21="",H21=I21),"",ROUNDDOWN(Config!$B$11/ABS(H21-I21),0))</f>
        <v/>
      </c>
    </row>
    <row r="22" customFormat="false" ht="15" hidden="false" customHeight="false" outlineLevel="0" collapsed="false">
      <c r="L22" s="20" t="str">
        <f aca="false">IF(OR(H22="",I22="",J22=""),"",IF(H22=I22,"",ABS(J22-H22)/ABS(H22-I22)))</f>
        <v/>
      </c>
      <c r="M22" s="9" t="str">
        <f aca="false">IF(OR(H22="",I22="",H22=I22),"",ROUNDDOWN(Config!$B$11/ABS(H22-I22),0))</f>
        <v/>
      </c>
    </row>
    <row r="23" customFormat="false" ht="15" hidden="false" customHeight="false" outlineLevel="0" collapsed="false">
      <c r="L23" s="20" t="str">
        <f aca="false">IF(OR(H23="",I23="",J23=""),"",IF(H23=I23,"",ABS(J23-H23)/ABS(H23-I23)))</f>
        <v/>
      </c>
      <c r="M23" s="9" t="str">
        <f aca="false">IF(OR(H23="",I23="",H23=I23),"",ROUNDDOWN(Config!$B$11/ABS(H23-I23),0))</f>
        <v/>
      </c>
    </row>
    <row r="24" customFormat="false" ht="15" hidden="false" customHeight="false" outlineLevel="0" collapsed="false">
      <c r="L24" s="20" t="str">
        <f aca="false">IF(OR(H24="",I24="",J24=""),"",IF(H24=I24,"",ABS(J24-H24)/ABS(H24-I24)))</f>
        <v/>
      </c>
      <c r="M24" s="9" t="str">
        <f aca="false">IF(OR(H24="",I24="",H24=I24),"",ROUNDDOWN(Config!$B$11/ABS(H24-I24),0))</f>
        <v/>
      </c>
    </row>
    <row r="25" customFormat="false" ht="15" hidden="false" customHeight="false" outlineLevel="0" collapsed="false">
      <c r="L25" s="20" t="str">
        <f aca="false">IF(OR(H25="",I25="",J25=""),"",IF(H25=I25,"",ABS(J25-H25)/ABS(H25-I25)))</f>
        <v/>
      </c>
      <c r="M25" s="9" t="str">
        <f aca="false">IF(OR(H25="",I25="",H25=I25),"",ROUNDDOWN(Config!$B$11/ABS(H25-I25),0))</f>
        <v/>
      </c>
    </row>
    <row r="26" customFormat="false" ht="15" hidden="false" customHeight="false" outlineLevel="0" collapsed="false">
      <c r="L26" s="20" t="str">
        <f aca="false">IF(OR(H26="",I26="",J26=""),"",IF(H26=I26,"",ABS(J26-H26)/ABS(H26-I26)))</f>
        <v/>
      </c>
      <c r="M26" s="9" t="str">
        <f aca="false">IF(OR(H26="",I26="",H26=I26),"",ROUNDDOWN(Config!$B$11/ABS(H26-I26),0))</f>
        <v/>
      </c>
    </row>
    <row r="27" customFormat="false" ht="15" hidden="false" customHeight="false" outlineLevel="0" collapsed="false">
      <c r="L27" s="20" t="str">
        <f aca="false">IF(OR(H27="",I27="",J27=""),"",IF(H27=I27,"",ABS(J27-H27)/ABS(H27-I27)))</f>
        <v/>
      </c>
      <c r="M27" s="9" t="str">
        <f aca="false">IF(OR(H27="",I27="",H27=I27),"",ROUNDDOWN(Config!$B$11/ABS(H27-I27),0))</f>
        <v/>
      </c>
    </row>
    <row r="28" customFormat="false" ht="15" hidden="false" customHeight="false" outlineLevel="0" collapsed="false">
      <c r="L28" s="20" t="str">
        <f aca="false">IF(OR(H28="",I28="",J28=""),"",IF(H28=I28,"",ABS(J28-H28)/ABS(H28-I28)))</f>
        <v/>
      </c>
      <c r="M28" s="9" t="str">
        <f aca="false">IF(OR(H28="",I28="",H28=I28),"",ROUNDDOWN(Config!$B$11/ABS(H28-I28),0))</f>
        <v/>
      </c>
    </row>
    <row r="29" customFormat="false" ht="15" hidden="false" customHeight="false" outlineLevel="0" collapsed="false">
      <c r="L29" s="20" t="str">
        <f aca="false">IF(OR(H29="",I29="",J29=""),"",IF(H29=I29,"",ABS(J29-H29)/ABS(H29-I29)))</f>
        <v/>
      </c>
      <c r="M29" s="9" t="str">
        <f aca="false">IF(OR(H29="",I29="",H29=I29),"",ROUNDDOWN(Config!$B$11/ABS(H29-I29),0))</f>
        <v/>
      </c>
    </row>
    <row r="30" customFormat="false" ht="15" hidden="false" customHeight="false" outlineLevel="0" collapsed="false">
      <c r="L30" s="20" t="str">
        <f aca="false">IF(OR(H30="",I30="",J30=""),"",IF(H30=I30,"",ABS(J30-H30)/ABS(H30-I30)))</f>
        <v/>
      </c>
      <c r="M30" s="9" t="str">
        <f aca="false">IF(OR(H30="",I30="",H30=I30),"",ROUNDDOWN(Config!$B$11/ABS(H30-I30),0))</f>
        <v/>
      </c>
    </row>
    <row r="31" customFormat="false" ht="15" hidden="false" customHeight="false" outlineLevel="0" collapsed="false">
      <c r="L31" s="20" t="str">
        <f aca="false">IF(OR(H31="",I31="",J31=""),"",IF(H31=I31,"",ABS(J31-H31)/ABS(H31-I31)))</f>
        <v/>
      </c>
      <c r="M31" s="9" t="str">
        <f aca="false">IF(OR(H31="",I31="",H31=I31),"",ROUNDDOWN(Config!$B$11/ABS(H31-I31),0))</f>
        <v/>
      </c>
    </row>
    <row r="32" customFormat="false" ht="15" hidden="false" customHeight="false" outlineLevel="0" collapsed="false">
      <c r="L32" s="20" t="str">
        <f aca="false">IF(OR(H32="",I32="",J32=""),"",IF(H32=I32,"",ABS(J32-H32)/ABS(H32-I32)))</f>
        <v/>
      </c>
      <c r="M32" s="9" t="str">
        <f aca="false">IF(OR(H32="",I32="",H32=I32),"",ROUNDDOWN(Config!$B$11/ABS(H32-I32),0))</f>
        <v/>
      </c>
    </row>
    <row r="33" customFormat="false" ht="15" hidden="false" customHeight="false" outlineLevel="0" collapsed="false">
      <c r="L33" s="20" t="str">
        <f aca="false">IF(OR(H33="",I33="",J33=""),"",IF(H33=I33,"",ABS(J33-H33)/ABS(H33-I33)))</f>
        <v/>
      </c>
      <c r="M33" s="9" t="str">
        <f aca="false">IF(OR(H33="",I33="",H33=I33),"",ROUNDDOWN(Config!$B$11/ABS(H33-I33),0))</f>
        <v/>
      </c>
    </row>
    <row r="34" customFormat="false" ht="15" hidden="false" customHeight="false" outlineLevel="0" collapsed="false">
      <c r="L34" s="20" t="str">
        <f aca="false">IF(OR(H34="",I34="",J34=""),"",IF(H34=I34,"",ABS(J34-H34)/ABS(H34-I34)))</f>
        <v/>
      </c>
      <c r="M34" s="9" t="str">
        <f aca="false">IF(OR(H34="",I34="",H34=I34),"",ROUNDDOWN(Config!$B$11/ABS(H34-I34),0))</f>
        <v/>
      </c>
    </row>
    <row r="35" customFormat="false" ht="15" hidden="false" customHeight="false" outlineLevel="0" collapsed="false">
      <c r="L35" s="20" t="str">
        <f aca="false">IF(OR(H35="",I35="",J35=""),"",IF(H35=I35,"",ABS(J35-H35)/ABS(H35-I35)))</f>
        <v/>
      </c>
      <c r="M35" s="9" t="str">
        <f aca="false">IF(OR(H35="",I35="",H35=I35),"",ROUNDDOWN(Config!$B$11/ABS(H35-I35),0))</f>
        <v/>
      </c>
    </row>
    <row r="36" customFormat="false" ht="15" hidden="false" customHeight="false" outlineLevel="0" collapsed="false">
      <c r="L36" s="20" t="str">
        <f aca="false">IF(OR(H36="",I36="",J36=""),"",IF(H36=I36,"",ABS(J36-H36)/ABS(H36-I36)))</f>
        <v/>
      </c>
      <c r="M36" s="9" t="str">
        <f aca="false">IF(OR(H36="",I36="",H36=I36),"",ROUNDDOWN(Config!$B$11/ABS(H36-I36),0))</f>
        <v/>
      </c>
    </row>
    <row r="37" customFormat="false" ht="15" hidden="false" customHeight="false" outlineLevel="0" collapsed="false">
      <c r="L37" s="20" t="str">
        <f aca="false">IF(OR(H37="",I37="",J37=""),"",IF(H37=I37,"",ABS(J37-H37)/ABS(H37-I37)))</f>
        <v/>
      </c>
      <c r="M37" s="9" t="str">
        <f aca="false">IF(OR(H37="",I37="",H37=I37),"",ROUNDDOWN(Config!$B$11/ABS(H37-I37),0))</f>
        <v/>
      </c>
    </row>
    <row r="38" customFormat="false" ht="15" hidden="false" customHeight="false" outlineLevel="0" collapsed="false">
      <c r="L38" s="20" t="str">
        <f aca="false">IF(OR(H38="",I38="",J38=""),"",IF(H38=I38,"",ABS(J38-H38)/ABS(H38-I38)))</f>
        <v/>
      </c>
      <c r="M38" s="9" t="str">
        <f aca="false">IF(OR(H38="",I38="",H38=I38),"",ROUNDDOWN(Config!$B$11/ABS(H38-I38),0))</f>
        <v/>
      </c>
    </row>
    <row r="39" customFormat="false" ht="15" hidden="false" customHeight="false" outlineLevel="0" collapsed="false">
      <c r="L39" s="20" t="str">
        <f aca="false">IF(OR(H39="",I39="",J39=""),"",IF(H39=I39,"",ABS(J39-H39)/ABS(H39-I39)))</f>
        <v/>
      </c>
      <c r="M39" s="9" t="str">
        <f aca="false">IF(OR(H39="",I39="",H39=I39),"",ROUNDDOWN(Config!$B$11/ABS(H39-I39),0))</f>
        <v/>
      </c>
    </row>
    <row r="40" customFormat="false" ht="15" hidden="false" customHeight="false" outlineLevel="0" collapsed="false">
      <c r="L40" s="20" t="str">
        <f aca="false">IF(OR(H40="",I40="",J40=""),"",IF(H40=I40,"",ABS(J40-H40)/ABS(H40-I40)))</f>
        <v/>
      </c>
      <c r="M40" s="9" t="str">
        <f aca="false">IF(OR(H40="",I40="",H40=I40),"",ROUNDDOWN(Config!$B$11/ABS(H40-I40),0))</f>
        <v/>
      </c>
    </row>
    <row r="41" customFormat="false" ht="15" hidden="false" customHeight="false" outlineLevel="0" collapsed="false">
      <c r="L41" s="20" t="str">
        <f aca="false">IF(OR(H41="",I41="",J41=""),"",IF(H41=I41,"",ABS(J41-H41)/ABS(H41-I41)))</f>
        <v/>
      </c>
      <c r="M41" s="9" t="str">
        <f aca="false">IF(OR(H41="",I41="",H41=I41),"",ROUNDDOWN(Config!$B$11/ABS(H41-I41),0))</f>
        <v/>
      </c>
    </row>
    <row r="42" customFormat="false" ht="15" hidden="false" customHeight="false" outlineLevel="0" collapsed="false">
      <c r="L42" s="20" t="str">
        <f aca="false">IF(OR(H42="",I42="",J42=""),"",IF(H42=I42,"",ABS(J42-H42)/ABS(H42-I42)))</f>
        <v/>
      </c>
      <c r="M42" s="9" t="str">
        <f aca="false">IF(OR(H42="",I42="",H42=I42),"",ROUNDDOWN(Config!$B$11/ABS(H42-I42),0))</f>
        <v/>
      </c>
    </row>
    <row r="43" customFormat="false" ht="15" hidden="false" customHeight="false" outlineLevel="0" collapsed="false">
      <c r="L43" s="20" t="str">
        <f aca="false">IF(OR(H43="",I43="",J43=""),"",IF(H43=I43,"",ABS(J43-H43)/ABS(H43-I43)))</f>
        <v/>
      </c>
      <c r="M43" s="9" t="str">
        <f aca="false">IF(OR(H43="",I43="",H43=I43),"",ROUNDDOWN(Config!$B$11/ABS(H43-I43),0))</f>
        <v/>
      </c>
    </row>
    <row r="44" customFormat="false" ht="15" hidden="false" customHeight="false" outlineLevel="0" collapsed="false">
      <c r="L44" s="20" t="str">
        <f aca="false">IF(OR(H44="",I44="",J44=""),"",IF(H44=I44,"",ABS(J44-H44)/ABS(H44-I44)))</f>
        <v/>
      </c>
      <c r="M44" s="9" t="str">
        <f aca="false">IF(OR(H44="",I44="",H44=I44),"",ROUNDDOWN(Config!$B$11/ABS(H44-I44),0))</f>
        <v/>
      </c>
    </row>
    <row r="45" customFormat="false" ht="15" hidden="false" customHeight="false" outlineLevel="0" collapsed="false">
      <c r="L45" s="20" t="str">
        <f aca="false">IF(OR(H45="",I45="",J45=""),"",IF(H45=I45,"",ABS(J45-H45)/ABS(H45-I45)))</f>
        <v/>
      </c>
      <c r="M45" s="9" t="str">
        <f aca="false">IF(OR(H45="",I45="",H45=I45),"",ROUNDDOWN(Config!$B$11/ABS(H45-I45),0))</f>
        <v/>
      </c>
    </row>
    <row r="46" customFormat="false" ht="15" hidden="false" customHeight="false" outlineLevel="0" collapsed="false">
      <c r="L46" s="20" t="str">
        <f aca="false">IF(OR(H46="",I46="",J46=""),"",IF(H46=I46,"",ABS(J46-H46)/ABS(H46-I46)))</f>
        <v/>
      </c>
      <c r="M46" s="9" t="str">
        <f aca="false">IF(OR(H46="",I46="",H46=I46),"",ROUNDDOWN(Config!$B$11/ABS(H46-I46),0))</f>
        <v/>
      </c>
    </row>
    <row r="47" customFormat="false" ht="15" hidden="false" customHeight="false" outlineLevel="0" collapsed="false">
      <c r="L47" s="20" t="str">
        <f aca="false">IF(OR(H47="",I47="",J47=""),"",IF(H47=I47,"",ABS(J47-H47)/ABS(H47-I47)))</f>
        <v/>
      </c>
      <c r="M47" s="9" t="str">
        <f aca="false">IF(OR(H47="",I47="",H47=I47),"",ROUNDDOWN(Config!$B$11/ABS(H47-I47),0))</f>
        <v/>
      </c>
    </row>
    <row r="48" customFormat="false" ht="15" hidden="false" customHeight="false" outlineLevel="0" collapsed="false">
      <c r="L48" s="20" t="str">
        <f aca="false">IF(OR(H48="",I48="",J48=""),"",IF(H48=I48,"",ABS(J48-H48)/ABS(H48-I48)))</f>
        <v/>
      </c>
      <c r="M48" s="9" t="str">
        <f aca="false">IF(OR(H48="",I48="",H48=I48),"",ROUNDDOWN(Config!$B$11/ABS(H48-I48),0))</f>
        <v/>
      </c>
    </row>
    <row r="49" customFormat="false" ht="15" hidden="false" customHeight="false" outlineLevel="0" collapsed="false">
      <c r="L49" s="20" t="str">
        <f aca="false">IF(OR(H49="",I49="",J49=""),"",IF(H49=I49,"",ABS(J49-H49)/ABS(H49-I49)))</f>
        <v/>
      </c>
      <c r="M49" s="9" t="str">
        <f aca="false">IF(OR(H49="",I49="",H49=I49),"",ROUNDDOWN(Config!$B$11/ABS(H49-I49),0))</f>
        <v/>
      </c>
    </row>
    <row r="50" customFormat="false" ht="15" hidden="false" customHeight="false" outlineLevel="0" collapsed="false">
      <c r="L50" s="20" t="str">
        <f aca="false">IF(OR(H50="",I50="",J50=""),"",IF(H50=I50,"",ABS(J50-H50)/ABS(H50-I50)))</f>
        <v/>
      </c>
      <c r="M50" s="9" t="str">
        <f aca="false">IF(OR(H50="",I50="",H50=I50),"",ROUNDDOWN(Config!$B$11/ABS(H50-I50),0))</f>
        <v/>
      </c>
    </row>
    <row r="51" customFormat="false" ht="15" hidden="false" customHeight="false" outlineLevel="0" collapsed="false">
      <c r="L51" s="20" t="str">
        <f aca="false">IF(OR(H51="",I51="",J51=""),"",IF(H51=I51,"",ABS(J51-H51)/ABS(H51-I51)))</f>
        <v/>
      </c>
      <c r="M51" s="9" t="str">
        <f aca="false">IF(OR(H51="",I51="",H51=I51),"",ROUNDDOWN(Config!$B$11/ABS(H51-I51),0))</f>
        <v/>
      </c>
    </row>
    <row r="52" customFormat="false" ht="15" hidden="false" customHeight="false" outlineLevel="0" collapsed="false">
      <c r="L52" s="20" t="str">
        <f aca="false">IF(OR(H52="",I52="",J52=""),"",IF(H52=I52,"",ABS(J52-H52)/ABS(H52-I52)))</f>
        <v/>
      </c>
      <c r="M52" s="9" t="str">
        <f aca="false">IF(OR(H52="",I52="",H52=I52),"",ROUNDDOWN(Config!$B$11/ABS(H52-I52),0))</f>
        <v/>
      </c>
    </row>
    <row r="53" customFormat="false" ht="15" hidden="false" customHeight="false" outlineLevel="0" collapsed="false">
      <c r="L53" s="20" t="str">
        <f aca="false">IF(OR(H53="",I53="",J53=""),"",IF(H53=I53,"",ABS(J53-H53)/ABS(H53-I53)))</f>
        <v/>
      </c>
      <c r="M53" s="9" t="str">
        <f aca="false">IF(OR(H53="",I53="",H53=I53),"",ROUNDDOWN(Config!$B$11/ABS(H53-I53),0))</f>
        <v/>
      </c>
    </row>
    <row r="54" customFormat="false" ht="15" hidden="false" customHeight="false" outlineLevel="0" collapsed="false">
      <c r="L54" s="20" t="str">
        <f aca="false">IF(OR(H54="",I54="",J54=""),"",IF(H54=I54,"",ABS(J54-H54)/ABS(H54-I54)))</f>
        <v/>
      </c>
      <c r="M54" s="9" t="str">
        <f aca="false">IF(OR(H54="",I54="",H54=I54),"",ROUNDDOWN(Config!$B$11/ABS(H54-I54),0))</f>
        <v/>
      </c>
    </row>
    <row r="55" customFormat="false" ht="15" hidden="false" customHeight="false" outlineLevel="0" collapsed="false">
      <c r="L55" s="20" t="str">
        <f aca="false">IF(OR(H55="",I55="",J55=""),"",IF(H55=I55,"",ABS(J55-H55)/ABS(H55-I55)))</f>
        <v/>
      </c>
      <c r="M55" s="9" t="str">
        <f aca="false">IF(OR(H55="",I55="",H55=I55),"",ROUNDDOWN(Config!$B$11/ABS(H55-I55),0))</f>
        <v/>
      </c>
    </row>
    <row r="56" customFormat="false" ht="15" hidden="false" customHeight="false" outlineLevel="0" collapsed="false">
      <c r="L56" s="20" t="str">
        <f aca="false">IF(OR(H56="",I56="",J56=""),"",IF(H56=I56,"",ABS(J56-H56)/ABS(H56-I56)))</f>
        <v/>
      </c>
      <c r="M56" s="9" t="str">
        <f aca="false">IF(OR(H56="",I56="",H56=I56),"",ROUNDDOWN(Config!$B$11/ABS(H56-I56),0))</f>
        <v/>
      </c>
    </row>
    <row r="57" customFormat="false" ht="15" hidden="false" customHeight="false" outlineLevel="0" collapsed="false">
      <c r="L57" s="20" t="str">
        <f aca="false">IF(OR(H57="",I57="",J57=""),"",IF(H57=I57,"",ABS(J57-H57)/ABS(H57-I57)))</f>
        <v/>
      </c>
      <c r="M57" s="9" t="str">
        <f aca="false">IF(OR(H57="",I57="",H57=I57),"",ROUNDDOWN(Config!$B$11/ABS(H57-I57),0))</f>
        <v/>
      </c>
    </row>
    <row r="58" customFormat="false" ht="15" hidden="false" customHeight="false" outlineLevel="0" collapsed="false">
      <c r="L58" s="20" t="str">
        <f aca="false">IF(OR(H58="",I58="",J58=""),"",IF(H58=I58,"",ABS(J58-H58)/ABS(H58-I58)))</f>
        <v/>
      </c>
      <c r="M58" s="9" t="str">
        <f aca="false">IF(OR(H58="",I58="",H58=I58),"",ROUNDDOWN(Config!$B$11/ABS(H58-I58),0))</f>
        <v/>
      </c>
    </row>
    <row r="59" customFormat="false" ht="15" hidden="false" customHeight="false" outlineLevel="0" collapsed="false">
      <c r="L59" s="20" t="str">
        <f aca="false">IF(OR(H59="",I59="",J59=""),"",IF(H59=I59,"",ABS(J59-H59)/ABS(H59-I59)))</f>
        <v/>
      </c>
      <c r="M59" s="9" t="str">
        <f aca="false">IF(OR(H59="",I59="",H59=I59),"",ROUNDDOWN(Config!$B$11/ABS(H59-I59),0))</f>
        <v/>
      </c>
    </row>
    <row r="60" customFormat="false" ht="15" hidden="false" customHeight="false" outlineLevel="0" collapsed="false">
      <c r="L60" s="20" t="str">
        <f aca="false">IF(OR(H60="",I60="",J60=""),"",IF(H60=I60,"",ABS(J60-H60)/ABS(H60-I60)))</f>
        <v/>
      </c>
      <c r="M60" s="9" t="str">
        <f aca="false">IF(OR(H60="",I60="",H60=I60),"",ROUNDDOWN(Config!$B$11/ABS(H60-I60),0))</f>
        <v/>
      </c>
    </row>
    <row r="61" customFormat="false" ht="15" hidden="false" customHeight="false" outlineLevel="0" collapsed="false">
      <c r="L61" s="20" t="str">
        <f aca="false">IF(OR(H61="",I61="",J61=""),"",IF(H61=I61,"",ABS(J61-H61)/ABS(H61-I61)))</f>
        <v/>
      </c>
      <c r="M61" s="9" t="str">
        <f aca="false">IF(OR(H61="",I61="",H61=I61),"",ROUNDDOWN(Config!$B$11/ABS(H61-I61),0))</f>
        <v/>
      </c>
    </row>
    <row r="62" customFormat="false" ht="15" hidden="false" customHeight="false" outlineLevel="0" collapsed="false">
      <c r="L62" s="20" t="str">
        <f aca="false">IF(OR(H62="",I62="",J62=""),"",IF(H62=I62,"",ABS(J62-H62)/ABS(H62-I62)))</f>
        <v/>
      </c>
      <c r="M62" s="9" t="str">
        <f aca="false">IF(OR(H62="",I62="",H62=I62),"",ROUNDDOWN(Config!$B$11/ABS(H62-I62),0))</f>
        <v/>
      </c>
    </row>
    <row r="63" customFormat="false" ht="15" hidden="false" customHeight="false" outlineLevel="0" collapsed="false">
      <c r="L63" s="20" t="str">
        <f aca="false">IF(OR(H63="",I63="",J63=""),"",IF(H63=I63,"",ABS(J63-H63)/ABS(H63-I63)))</f>
        <v/>
      </c>
      <c r="M63" s="9" t="str">
        <f aca="false">IF(OR(H63="",I63="",H63=I63),"",ROUNDDOWN(Config!$B$11/ABS(H63-I63),0))</f>
        <v/>
      </c>
    </row>
    <row r="64" customFormat="false" ht="15" hidden="false" customHeight="false" outlineLevel="0" collapsed="false">
      <c r="L64" s="20" t="str">
        <f aca="false">IF(OR(H64="",I64="",J64=""),"",IF(H64=I64,"",ABS(J64-H64)/ABS(H64-I64)))</f>
        <v/>
      </c>
      <c r="M64" s="9" t="str">
        <f aca="false">IF(OR(H64="",I64="",H64=I64),"",ROUNDDOWN(Config!$B$11/ABS(H64-I64),0))</f>
        <v/>
      </c>
    </row>
    <row r="65" customFormat="false" ht="15" hidden="false" customHeight="false" outlineLevel="0" collapsed="false">
      <c r="L65" s="20" t="str">
        <f aca="false">IF(OR(H65="",I65="",J65=""),"",IF(H65=I65,"",ABS(J65-H65)/ABS(H65-I65)))</f>
        <v/>
      </c>
      <c r="M65" s="9" t="str">
        <f aca="false">IF(OR(H65="",I65="",H65=I65),"",ROUNDDOWN(Config!$B$11/ABS(H65-I65),0))</f>
        <v/>
      </c>
    </row>
    <row r="66" customFormat="false" ht="15" hidden="false" customHeight="false" outlineLevel="0" collapsed="false">
      <c r="L66" s="20" t="str">
        <f aca="false">IF(OR(H66="",I66="",J66=""),"",IF(H66=I66,"",ABS(J66-H66)/ABS(H66-I66)))</f>
        <v/>
      </c>
      <c r="M66" s="9" t="str">
        <f aca="false">IF(OR(H66="",I66="",H66=I66),"",ROUNDDOWN(Config!$B$11/ABS(H66-I66),0))</f>
        <v/>
      </c>
    </row>
    <row r="67" customFormat="false" ht="15" hidden="false" customHeight="false" outlineLevel="0" collapsed="false">
      <c r="L67" s="20" t="str">
        <f aca="false">IF(OR(H67="",I67="",J67=""),"",IF(H67=I67,"",ABS(J67-H67)/ABS(H67-I67)))</f>
        <v/>
      </c>
      <c r="M67" s="9" t="str">
        <f aca="false">IF(OR(H67="",I67="",H67=I67),"",ROUNDDOWN(Config!$B$11/ABS(H67-I67),0))</f>
        <v/>
      </c>
    </row>
    <row r="68" customFormat="false" ht="15" hidden="false" customHeight="false" outlineLevel="0" collapsed="false">
      <c r="L68" s="20" t="str">
        <f aca="false">IF(OR(H68="",I68="",J68=""),"",IF(H68=I68,"",ABS(J68-H68)/ABS(H68-I68)))</f>
        <v/>
      </c>
      <c r="M68" s="9" t="str">
        <f aca="false">IF(OR(H68="",I68="",H68=I68),"",ROUNDDOWN(Config!$B$11/ABS(H68-I68),0))</f>
        <v/>
      </c>
    </row>
    <row r="69" customFormat="false" ht="15" hidden="false" customHeight="false" outlineLevel="0" collapsed="false">
      <c r="L69" s="20" t="str">
        <f aca="false">IF(OR(H69="",I69="",J69=""),"",IF(H69=I69,"",ABS(J69-H69)/ABS(H69-I69)))</f>
        <v/>
      </c>
      <c r="M69" s="9" t="str">
        <f aca="false">IF(OR(H69="",I69="",H69=I69),"",ROUNDDOWN(Config!$B$11/ABS(H69-I69),0))</f>
        <v/>
      </c>
    </row>
    <row r="70" customFormat="false" ht="15" hidden="false" customHeight="false" outlineLevel="0" collapsed="false">
      <c r="L70" s="20" t="str">
        <f aca="false">IF(OR(H70="",I70="",J70=""),"",IF(H70=I70,"",ABS(J70-H70)/ABS(H70-I70)))</f>
        <v/>
      </c>
      <c r="M70" s="9" t="str">
        <f aca="false">IF(OR(H70="",I70="",H70=I70),"",ROUNDDOWN(Config!$B$11/ABS(H70-I70),0))</f>
        <v/>
      </c>
    </row>
    <row r="71" customFormat="false" ht="15" hidden="false" customHeight="false" outlineLevel="0" collapsed="false">
      <c r="L71" s="20" t="str">
        <f aca="false">IF(OR(H71="",I71="",J71=""),"",IF(H71=I71,"",ABS(J71-H71)/ABS(H71-I71)))</f>
        <v/>
      </c>
      <c r="M71" s="9" t="str">
        <f aca="false">IF(OR(H71="",I71="",H71=I71),"",ROUNDDOWN(Config!$B$11/ABS(H71-I71),0))</f>
        <v/>
      </c>
    </row>
    <row r="72" customFormat="false" ht="15" hidden="false" customHeight="false" outlineLevel="0" collapsed="false">
      <c r="L72" s="20" t="str">
        <f aca="false">IF(OR(H72="",I72="",J72=""),"",IF(H72=I72,"",ABS(J72-H72)/ABS(H72-I72)))</f>
        <v/>
      </c>
      <c r="M72" s="9" t="str">
        <f aca="false">IF(OR(H72="",I72="",H72=I72),"",ROUNDDOWN(Config!$B$11/ABS(H72-I72),0))</f>
        <v/>
      </c>
    </row>
    <row r="73" customFormat="false" ht="15" hidden="false" customHeight="false" outlineLevel="0" collapsed="false">
      <c r="L73" s="20" t="str">
        <f aca="false">IF(OR(H73="",I73="",J73=""),"",IF(H73=I73,"",ABS(J73-H73)/ABS(H73-I73)))</f>
        <v/>
      </c>
      <c r="M73" s="9" t="str">
        <f aca="false">IF(OR(H73="",I73="",H73=I73),"",ROUNDDOWN(Config!$B$11/ABS(H73-I73),0))</f>
        <v/>
      </c>
    </row>
    <row r="74" customFormat="false" ht="15" hidden="false" customHeight="false" outlineLevel="0" collapsed="false">
      <c r="L74" s="20" t="str">
        <f aca="false">IF(OR(H74="",I74="",J74=""),"",IF(H74=I74,"",ABS(J74-H74)/ABS(H74-I74)))</f>
        <v/>
      </c>
      <c r="M74" s="9" t="str">
        <f aca="false">IF(OR(H74="",I74="",H74=I74),"",ROUNDDOWN(Config!$B$11/ABS(H74-I74),0))</f>
        <v/>
      </c>
    </row>
    <row r="75" customFormat="false" ht="15" hidden="false" customHeight="false" outlineLevel="0" collapsed="false">
      <c r="L75" s="20" t="str">
        <f aca="false">IF(OR(H75="",I75="",J75=""),"",IF(H75=I75,"",ABS(J75-H75)/ABS(H75-I75)))</f>
        <v/>
      </c>
      <c r="M75" s="9" t="str">
        <f aca="false">IF(OR(H75="",I75="",H75=I75),"",ROUNDDOWN(Config!$B$11/ABS(H75-I75),0))</f>
        <v/>
      </c>
    </row>
    <row r="76" customFormat="false" ht="15" hidden="false" customHeight="false" outlineLevel="0" collapsed="false">
      <c r="L76" s="20" t="str">
        <f aca="false">IF(OR(H76="",I76="",J76=""),"",IF(H76=I76,"",ABS(J76-H76)/ABS(H76-I76)))</f>
        <v/>
      </c>
      <c r="M76" s="9" t="str">
        <f aca="false">IF(OR(H76="",I76="",H76=I76),"",ROUNDDOWN(Config!$B$11/ABS(H76-I76),0))</f>
        <v/>
      </c>
    </row>
    <row r="77" customFormat="false" ht="15" hidden="false" customHeight="false" outlineLevel="0" collapsed="false">
      <c r="L77" s="20" t="str">
        <f aca="false">IF(OR(H77="",I77="",J77=""),"",IF(H77=I77,"",ABS(J77-H77)/ABS(H77-I77)))</f>
        <v/>
      </c>
      <c r="M77" s="9" t="str">
        <f aca="false">IF(OR(H77="",I77="",H77=I77),"",ROUNDDOWN(Config!$B$11/ABS(H77-I77),0))</f>
        <v/>
      </c>
    </row>
    <row r="78" customFormat="false" ht="15" hidden="false" customHeight="false" outlineLevel="0" collapsed="false">
      <c r="L78" s="20" t="str">
        <f aca="false">IF(OR(H78="",I78="",J78=""),"",IF(H78=I78,"",ABS(J78-H78)/ABS(H78-I78)))</f>
        <v/>
      </c>
      <c r="M78" s="9" t="str">
        <f aca="false">IF(OR(H78="",I78="",H78=I78),"",ROUNDDOWN(Config!$B$11/ABS(H78-I78),0))</f>
        <v/>
      </c>
    </row>
    <row r="79" customFormat="false" ht="15" hidden="false" customHeight="false" outlineLevel="0" collapsed="false">
      <c r="L79" s="20" t="str">
        <f aca="false">IF(OR(H79="",I79="",J79=""),"",IF(H79=I79,"",ABS(J79-H79)/ABS(H79-I79)))</f>
        <v/>
      </c>
      <c r="M79" s="9" t="str">
        <f aca="false">IF(OR(H79="",I79="",H79=I79),"",ROUNDDOWN(Config!$B$11/ABS(H79-I79),0))</f>
        <v/>
      </c>
    </row>
    <row r="80" customFormat="false" ht="15" hidden="false" customHeight="false" outlineLevel="0" collapsed="false">
      <c r="L80" s="20" t="str">
        <f aca="false">IF(OR(H80="",I80="",J80=""),"",IF(H80=I80,"",ABS(J80-H80)/ABS(H80-I80)))</f>
        <v/>
      </c>
      <c r="M80" s="9" t="str">
        <f aca="false">IF(OR(H80="",I80="",H80=I80),"",ROUNDDOWN(Config!$B$11/ABS(H80-I80),0))</f>
        <v/>
      </c>
    </row>
    <row r="81" customFormat="false" ht="15" hidden="false" customHeight="false" outlineLevel="0" collapsed="false">
      <c r="L81" s="20" t="str">
        <f aca="false">IF(OR(H81="",I81="",J81=""),"",IF(H81=I81,"",ABS(J81-H81)/ABS(H81-I81)))</f>
        <v/>
      </c>
      <c r="M81" s="9" t="str">
        <f aca="false">IF(OR(H81="",I81="",H81=I81),"",ROUNDDOWN(Config!$B$11/ABS(H81-I81),0))</f>
        <v/>
      </c>
    </row>
    <row r="82" customFormat="false" ht="15" hidden="false" customHeight="false" outlineLevel="0" collapsed="false">
      <c r="L82" s="20" t="str">
        <f aca="false">IF(OR(H82="",I82="",J82=""),"",IF(H82=I82,"",ABS(J82-H82)/ABS(H82-I82)))</f>
        <v/>
      </c>
      <c r="M82" s="9" t="str">
        <f aca="false">IF(OR(H82="",I82="",H82=I82),"",ROUNDDOWN(Config!$B$11/ABS(H82-I82),0))</f>
        <v/>
      </c>
    </row>
    <row r="83" customFormat="false" ht="15" hidden="false" customHeight="false" outlineLevel="0" collapsed="false">
      <c r="L83" s="20" t="str">
        <f aca="false">IF(OR(H83="",I83="",J83=""),"",IF(H83=I83,"",ABS(J83-H83)/ABS(H83-I83)))</f>
        <v/>
      </c>
      <c r="M83" s="9" t="str">
        <f aca="false">IF(OR(H83="",I83="",H83=I83),"",ROUNDDOWN(Config!$B$11/ABS(H83-I83),0))</f>
        <v/>
      </c>
    </row>
    <row r="84" customFormat="false" ht="15" hidden="false" customHeight="false" outlineLevel="0" collapsed="false">
      <c r="L84" s="20" t="str">
        <f aca="false">IF(OR(H84="",I84="",J84=""),"",IF(H84=I84,"",ABS(J84-H84)/ABS(H84-I84)))</f>
        <v/>
      </c>
      <c r="M84" s="9" t="str">
        <f aca="false">IF(OR(H84="",I84="",H84=I84),"",ROUNDDOWN(Config!$B$11/ABS(H84-I84),0))</f>
        <v/>
      </c>
    </row>
    <row r="85" customFormat="false" ht="15" hidden="false" customHeight="false" outlineLevel="0" collapsed="false">
      <c r="L85" s="20" t="str">
        <f aca="false">IF(OR(H85="",I85="",J85=""),"",IF(H85=I85,"",ABS(J85-H85)/ABS(H85-I85)))</f>
        <v/>
      </c>
      <c r="M85" s="9" t="str">
        <f aca="false">IF(OR(H85="",I85="",H85=I85),"",ROUNDDOWN(Config!$B$11/ABS(H85-I85),0))</f>
        <v/>
      </c>
    </row>
    <row r="86" customFormat="false" ht="15" hidden="false" customHeight="false" outlineLevel="0" collapsed="false">
      <c r="L86" s="20" t="str">
        <f aca="false">IF(OR(H86="",I86="",J86=""),"",IF(H86=I86,"",ABS(J86-H86)/ABS(H86-I86)))</f>
        <v/>
      </c>
      <c r="M86" s="9" t="str">
        <f aca="false">IF(OR(H86="",I86="",H86=I86),"",ROUNDDOWN(Config!$B$11/ABS(H86-I86),0))</f>
        <v/>
      </c>
    </row>
    <row r="87" customFormat="false" ht="15" hidden="false" customHeight="false" outlineLevel="0" collapsed="false">
      <c r="L87" s="20" t="str">
        <f aca="false">IF(OR(H87="",I87="",J87=""),"",IF(H87=I87,"",ABS(J87-H87)/ABS(H87-I87)))</f>
        <v/>
      </c>
      <c r="M87" s="9" t="str">
        <f aca="false">IF(OR(H87="",I87="",H87=I87),"",ROUNDDOWN(Config!$B$11/ABS(H87-I87),0))</f>
        <v/>
      </c>
    </row>
    <row r="88" customFormat="false" ht="15" hidden="false" customHeight="false" outlineLevel="0" collapsed="false">
      <c r="L88" s="20" t="str">
        <f aca="false">IF(OR(H88="",I88="",J88=""),"",IF(H88=I88,"",ABS(J88-H88)/ABS(H88-I88)))</f>
        <v/>
      </c>
      <c r="M88" s="9" t="str">
        <f aca="false">IF(OR(H88="",I88="",H88=I88),"",ROUNDDOWN(Config!$B$11/ABS(H88-I88),0))</f>
        <v/>
      </c>
    </row>
    <row r="89" customFormat="false" ht="15" hidden="false" customHeight="false" outlineLevel="0" collapsed="false">
      <c r="L89" s="20" t="str">
        <f aca="false">IF(OR(H89="",I89="",J89=""),"",IF(H89=I89,"",ABS(J89-H89)/ABS(H89-I89)))</f>
        <v/>
      </c>
      <c r="M89" s="9" t="str">
        <f aca="false">IF(OR(H89="",I89="",H89=I89),"",ROUNDDOWN(Config!$B$11/ABS(H89-I89),0))</f>
        <v/>
      </c>
    </row>
    <row r="90" customFormat="false" ht="15" hidden="false" customHeight="false" outlineLevel="0" collapsed="false">
      <c r="L90" s="20" t="str">
        <f aca="false">IF(OR(H90="",I90="",J90=""),"",IF(H90=I90,"",ABS(J90-H90)/ABS(H90-I90)))</f>
        <v/>
      </c>
      <c r="M90" s="9" t="str">
        <f aca="false">IF(OR(H90="",I90="",H90=I90),"",ROUNDDOWN(Config!$B$11/ABS(H90-I90),0))</f>
        <v/>
      </c>
    </row>
    <row r="91" customFormat="false" ht="15" hidden="false" customHeight="false" outlineLevel="0" collapsed="false">
      <c r="L91" s="20" t="str">
        <f aca="false">IF(OR(H91="",I91="",J91=""),"",IF(H91=I91,"",ABS(J91-H91)/ABS(H91-I91)))</f>
        <v/>
      </c>
      <c r="M91" s="9" t="str">
        <f aca="false">IF(OR(H91="",I91="",H91=I91),"",ROUNDDOWN(Config!$B$11/ABS(H91-I91),0))</f>
        <v/>
      </c>
    </row>
    <row r="92" customFormat="false" ht="15" hidden="false" customHeight="false" outlineLevel="0" collapsed="false">
      <c r="L92" s="20" t="str">
        <f aca="false">IF(OR(H92="",I92="",J92=""),"",IF(H92=I92,"",ABS(J92-H92)/ABS(H92-I92)))</f>
        <v/>
      </c>
      <c r="M92" s="9" t="str">
        <f aca="false">IF(OR(H92="",I92="",H92=I92),"",ROUNDDOWN(Config!$B$11/ABS(H92-I92),0))</f>
        <v/>
      </c>
    </row>
    <row r="93" customFormat="false" ht="15" hidden="false" customHeight="false" outlineLevel="0" collapsed="false">
      <c r="L93" s="20" t="str">
        <f aca="false">IF(OR(H93="",I93="",J93=""),"",IF(H93=I93,"",ABS(J93-H93)/ABS(H93-I93)))</f>
        <v/>
      </c>
      <c r="M93" s="9" t="str">
        <f aca="false">IF(OR(H93="",I93="",H93=I93),"",ROUNDDOWN(Config!$B$11/ABS(H93-I93),0))</f>
        <v/>
      </c>
    </row>
    <row r="94" customFormat="false" ht="15" hidden="false" customHeight="false" outlineLevel="0" collapsed="false">
      <c r="L94" s="20" t="str">
        <f aca="false">IF(OR(H94="",I94="",J94=""),"",IF(H94=I94,"",ABS(J94-H94)/ABS(H94-I94)))</f>
        <v/>
      </c>
      <c r="M94" s="9" t="str">
        <f aca="false">IF(OR(H94="",I94="",H94=I94),"",ROUNDDOWN(Config!$B$11/ABS(H94-I94),0))</f>
        <v/>
      </c>
    </row>
    <row r="95" customFormat="false" ht="15" hidden="false" customHeight="false" outlineLevel="0" collapsed="false">
      <c r="L95" s="20" t="str">
        <f aca="false">IF(OR(H95="",I95="",J95=""),"",IF(H95=I95,"",ABS(J95-H95)/ABS(H95-I95)))</f>
        <v/>
      </c>
      <c r="M95" s="9" t="str">
        <f aca="false">IF(OR(H95="",I95="",H95=I95),"",ROUNDDOWN(Config!$B$11/ABS(H95-I95),0))</f>
        <v/>
      </c>
    </row>
    <row r="96" customFormat="false" ht="15" hidden="false" customHeight="false" outlineLevel="0" collapsed="false">
      <c r="L96" s="20" t="str">
        <f aca="false">IF(OR(H96="",I96="",J96=""),"",IF(H96=I96,"",ABS(J96-H96)/ABS(H96-I96)))</f>
        <v/>
      </c>
      <c r="M96" s="9" t="str">
        <f aca="false">IF(OR(H96="",I96="",H96=I96),"",ROUNDDOWN(Config!$B$11/ABS(H96-I96),0))</f>
        <v/>
      </c>
    </row>
    <row r="97" customFormat="false" ht="15" hidden="false" customHeight="false" outlineLevel="0" collapsed="false">
      <c r="L97" s="20" t="str">
        <f aca="false">IF(OR(H97="",I97="",J97=""),"",IF(H97=I97,"",ABS(J97-H97)/ABS(H97-I97)))</f>
        <v/>
      </c>
      <c r="M97" s="9" t="str">
        <f aca="false">IF(OR(H97="",I97="",H97=I97),"",ROUNDDOWN(Config!$B$11/ABS(H97-I97),0))</f>
        <v/>
      </c>
    </row>
    <row r="98" customFormat="false" ht="15" hidden="false" customHeight="false" outlineLevel="0" collapsed="false">
      <c r="L98" s="20" t="str">
        <f aca="false">IF(OR(H98="",I98="",J98=""),"",IF(H98=I98,"",ABS(J98-H98)/ABS(H98-I98)))</f>
        <v/>
      </c>
      <c r="M98" s="9" t="str">
        <f aca="false">IF(OR(H98="",I98="",H98=I98),"",ROUNDDOWN(Config!$B$11/ABS(H98-I98),0))</f>
        <v/>
      </c>
    </row>
    <row r="99" customFormat="false" ht="15" hidden="false" customHeight="false" outlineLevel="0" collapsed="false">
      <c r="L99" s="20" t="str">
        <f aca="false">IF(OR(H99="",I99="",J99=""),"",IF(H99=I99,"",ABS(J99-H99)/ABS(H99-I99)))</f>
        <v/>
      </c>
      <c r="M99" s="9" t="str">
        <f aca="false">IF(OR(H99="",I99="",H99=I99),"",ROUNDDOWN(Config!$B$11/ABS(H99-I99),0))</f>
        <v/>
      </c>
    </row>
    <row r="100" customFormat="false" ht="15" hidden="false" customHeight="false" outlineLevel="0" collapsed="false">
      <c r="L100" s="20" t="str">
        <f aca="false">IF(OR(H100="",I100="",J100=""),"",IF(H100=I100,"",ABS(J100-H100)/ABS(H100-I100)))</f>
        <v/>
      </c>
      <c r="M100" s="9" t="str">
        <f aca="false">IF(OR(H100="",I100="",H100=I100),"",ROUNDDOWN(Config!$B$11/ABS(H100-I100),0))</f>
        <v/>
      </c>
    </row>
    <row r="101" customFormat="false" ht="15" hidden="false" customHeight="false" outlineLevel="0" collapsed="false">
      <c r="L101" s="20" t="str">
        <f aca="false">IF(OR(H101="",I101="",J101=""),"",IF(H101=I101,"",ABS(J101-H101)/ABS(H101-I101)))</f>
        <v/>
      </c>
      <c r="M101" s="9" t="str">
        <f aca="false">IF(OR(H101="",I101="",H101=I101),"",ROUNDDOWN(Config!$B$11/ABS(H101-I101),0))</f>
        <v/>
      </c>
    </row>
    <row r="102" customFormat="false" ht="15" hidden="false" customHeight="false" outlineLevel="0" collapsed="false">
      <c r="L102" s="20" t="str">
        <f aca="false">IF(OR(H102="",I102="",J102=""),"",IF(H102=I102,"",ABS(J102-H102)/ABS(H102-I102)))</f>
        <v/>
      </c>
      <c r="M102" s="9" t="str">
        <f aca="false">IF(OR(H102="",I102="",H102=I102),"",ROUNDDOWN(Config!$B$11/ABS(H102-I102),0))</f>
        <v/>
      </c>
    </row>
    <row r="103" customFormat="false" ht="15" hidden="false" customHeight="false" outlineLevel="0" collapsed="false">
      <c r="L103" s="20" t="str">
        <f aca="false">IF(OR(H103="",I103="",J103=""),"",IF(H103=I103,"",ABS(J103-H103)/ABS(H103-I103)))</f>
        <v/>
      </c>
      <c r="M103" s="9" t="str">
        <f aca="false">IF(OR(H103="",I103="",H103=I103),"",ROUNDDOWN(Config!$B$11/ABS(H103-I103),0))</f>
        <v/>
      </c>
    </row>
    <row r="104" customFormat="false" ht="15" hidden="false" customHeight="false" outlineLevel="0" collapsed="false">
      <c r="L104" s="20" t="str">
        <f aca="false">IF(OR(H104="",I104="",J104=""),"",IF(H104=I104,"",ABS(J104-H104)/ABS(H104-I104)))</f>
        <v/>
      </c>
      <c r="M104" s="9" t="str">
        <f aca="false">IF(OR(H104="",I104="",H104=I104),"",ROUNDDOWN(Config!$B$11/ABS(H104-I104),0))</f>
        <v/>
      </c>
    </row>
    <row r="105" customFormat="false" ht="15" hidden="false" customHeight="false" outlineLevel="0" collapsed="false">
      <c r="L105" s="20" t="str">
        <f aca="false">IF(OR(H105="",I105="",J105=""),"",IF(H105=I105,"",ABS(J105-H105)/ABS(H105-I105)))</f>
        <v/>
      </c>
      <c r="M105" s="9" t="str">
        <f aca="false">IF(OR(H105="",I105="",H105=I105),"",ROUNDDOWN(Config!$B$11/ABS(H105-I105),0))</f>
        <v/>
      </c>
    </row>
    <row r="106" customFormat="false" ht="15" hidden="false" customHeight="false" outlineLevel="0" collapsed="false">
      <c r="L106" s="20" t="str">
        <f aca="false">IF(OR(H106="",I106="",J106=""),"",IF(H106=I106,"",ABS(J106-H106)/ABS(H106-I106)))</f>
        <v/>
      </c>
      <c r="M106" s="9" t="str">
        <f aca="false">IF(OR(H106="",I106="",H106=I106),"",ROUNDDOWN(Config!$B$11/ABS(H106-I106),0))</f>
        <v/>
      </c>
    </row>
    <row r="107" customFormat="false" ht="15" hidden="false" customHeight="false" outlineLevel="0" collapsed="false">
      <c r="L107" s="20" t="str">
        <f aca="false">IF(OR(H107="",I107="",J107=""),"",IF(H107=I107,"",ABS(J107-H107)/ABS(H107-I107)))</f>
        <v/>
      </c>
      <c r="M107" s="9" t="str">
        <f aca="false">IF(OR(H107="",I107="",H107=I107),"",ROUNDDOWN(Config!$B$11/ABS(H107-I107),0))</f>
        <v/>
      </c>
    </row>
    <row r="108" customFormat="false" ht="15" hidden="false" customHeight="false" outlineLevel="0" collapsed="false">
      <c r="L108" s="20" t="str">
        <f aca="false">IF(OR(H108="",I108="",J108=""),"",IF(H108=I108,"",ABS(J108-H108)/ABS(H108-I108)))</f>
        <v/>
      </c>
      <c r="M108" s="9" t="str">
        <f aca="false">IF(OR(H108="",I108="",H108=I108),"",ROUNDDOWN(Config!$B$11/ABS(H108-I108),0))</f>
        <v/>
      </c>
    </row>
    <row r="109" customFormat="false" ht="15" hidden="false" customHeight="false" outlineLevel="0" collapsed="false">
      <c r="L109" s="20" t="str">
        <f aca="false">IF(OR(H109="",I109="",J109=""),"",IF(H109=I109,"",ABS(J109-H109)/ABS(H109-I109)))</f>
        <v/>
      </c>
      <c r="M109" s="9" t="str">
        <f aca="false">IF(OR(H109="",I109="",H109=I109),"",ROUNDDOWN(Config!$B$11/ABS(H109-I109),0))</f>
        <v/>
      </c>
    </row>
    <row r="110" customFormat="false" ht="15" hidden="false" customHeight="false" outlineLevel="0" collapsed="false">
      <c r="L110" s="20" t="str">
        <f aca="false">IF(OR(H110="",I110="",J110=""),"",IF(H110=I110,"",ABS(J110-H110)/ABS(H110-I110)))</f>
        <v/>
      </c>
      <c r="M110" s="9" t="str">
        <f aca="false">IF(OR(H110="",I110="",H110=I110),"",ROUNDDOWN(Config!$B$11/ABS(H110-I110),0))</f>
        <v/>
      </c>
    </row>
    <row r="111" customFormat="false" ht="15" hidden="false" customHeight="false" outlineLevel="0" collapsed="false">
      <c r="L111" s="20" t="str">
        <f aca="false">IF(OR(H111="",I111="",J111=""),"",IF(H111=I111,"",ABS(J111-H111)/ABS(H111-I111)))</f>
        <v/>
      </c>
      <c r="M111" s="9" t="str">
        <f aca="false">IF(OR(H111="",I111="",H111=I111),"",ROUNDDOWN(Config!$B$11/ABS(H111-I111),0))</f>
        <v/>
      </c>
    </row>
    <row r="112" customFormat="false" ht="15" hidden="false" customHeight="false" outlineLevel="0" collapsed="false">
      <c r="L112" s="20" t="str">
        <f aca="false">IF(OR(H112="",I112="",J112=""),"",IF(H112=I112,"",ABS(J112-H112)/ABS(H112-I112)))</f>
        <v/>
      </c>
      <c r="M112" s="9" t="str">
        <f aca="false">IF(OR(H112="",I112="",H112=I112),"",ROUNDDOWN(Config!$B$11/ABS(H112-I112),0))</f>
        <v/>
      </c>
    </row>
    <row r="113" customFormat="false" ht="15" hidden="false" customHeight="false" outlineLevel="0" collapsed="false">
      <c r="L113" s="20" t="str">
        <f aca="false">IF(OR(H113="",I113="",J113=""),"",IF(H113=I113,"",ABS(J113-H113)/ABS(H113-I113)))</f>
        <v/>
      </c>
      <c r="M113" s="9" t="str">
        <f aca="false">IF(OR(H113="",I113="",H113=I113),"",ROUNDDOWN(Config!$B$11/ABS(H113-I113),0))</f>
        <v/>
      </c>
    </row>
    <row r="114" customFormat="false" ht="15" hidden="false" customHeight="false" outlineLevel="0" collapsed="false">
      <c r="L114" s="20" t="str">
        <f aca="false">IF(OR(H114="",I114="",J114=""),"",IF(H114=I114,"",ABS(J114-H114)/ABS(H114-I114)))</f>
        <v/>
      </c>
      <c r="M114" s="9" t="str">
        <f aca="false">IF(OR(H114="",I114="",H114=I114),"",ROUNDDOWN(Config!$B$11/ABS(H114-I114),0))</f>
        <v/>
      </c>
    </row>
    <row r="115" customFormat="false" ht="15" hidden="false" customHeight="false" outlineLevel="0" collapsed="false">
      <c r="L115" s="20" t="str">
        <f aca="false">IF(OR(H115="",I115="",J115=""),"",IF(H115=I115,"",ABS(J115-H115)/ABS(H115-I115)))</f>
        <v/>
      </c>
      <c r="M115" s="9" t="str">
        <f aca="false">IF(OR(H115="",I115="",H115=I115),"",ROUNDDOWN(Config!$B$11/ABS(H115-I115),0))</f>
        <v/>
      </c>
    </row>
    <row r="116" customFormat="false" ht="15" hidden="false" customHeight="false" outlineLevel="0" collapsed="false">
      <c r="L116" s="20" t="str">
        <f aca="false">IF(OR(H116="",I116="",J116=""),"",IF(H116=I116,"",ABS(J116-H116)/ABS(H116-I116)))</f>
        <v/>
      </c>
      <c r="M116" s="9" t="str">
        <f aca="false">IF(OR(H116="",I116="",H116=I116),"",ROUNDDOWN(Config!$B$11/ABS(H116-I116),0))</f>
        <v/>
      </c>
    </row>
    <row r="117" customFormat="false" ht="15" hidden="false" customHeight="false" outlineLevel="0" collapsed="false">
      <c r="L117" s="20" t="str">
        <f aca="false">IF(OR(H117="",I117="",J117=""),"",IF(H117=I117,"",ABS(J117-H117)/ABS(H117-I117)))</f>
        <v/>
      </c>
      <c r="M117" s="9" t="str">
        <f aca="false">IF(OR(H117="",I117="",H117=I117),"",ROUNDDOWN(Config!$B$11/ABS(H117-I117),0))</f>
        <v/>
      </c>
    </row>
    <row r="118" customFormat="false" ht="15" hidden="false" customHeight="false" outlineLevel="0" collapsed="false">
      <c r="L118" s="20" t="str">
        <f aca="false">IF(OR(H118="",I118="",J118=""),"",IF(H118=I118,"",ABS(J118-H118)/ABS(H118-I118)))</f>
        <v/>
      </c>
      <c r="M118" s="9" t="str">
        <f aca="false">IF(OR(H118="",I118="",H118=I118),"",ROUNDDOWN(Config!$B$11/ABS(H118-I118),0))</f>
        <v/>
      </c>
    </row>
    <row r="119" customFormat="false" ht="15" hidden="false" customHeight="false" outlineLevel="0" collapsed="false">
      <c r="L119" s="20" t="str">
        <f aca="false">IF(OR(H119="",I119="",J119=""),"",IF(H119=I119,"",ABS(J119-H119)/ABS(H119-I119)))</f>
        <v/>
      </c>
      <c r="M119" s="9" t="str">
        <f aca="false">IF(OR(H119="",I119="",H119=I119),"",ROUNDDOWN(Config!$B$11/ABS(H119-I119),0))</f>
        <v/>
      </c>
    </row>
    <row r="120" customFormat="false" ht="15" hidden="false" customHeight="false" outlineLevel="0" collapsed="false">
      <c r="L120" s="20" t="str">
        <f aca="false">IF(OR(H120="",I120="",J120=""),"",IF(H120=I120,"",ABS(J120-H120)/ABS(H120-I120)))</f>
        <v/>
      </c>
      <c r="M120" s="9" t="str">
        <f aca="false">IF(OR(H120="",I120="",H120=I120),"",ROUNDDOWN(Config!$B$11/ABS(H120-I120),0))</f>
        <v/>
      </c>
    </row>
    <row r="121" customFormat="false" ht="15" hidden="false" customHeight="false" outlineLevel="0" collapsed="false">
      <c r="L121" s="20" t="str">
        <f aca="false">IF(OR(H121="",I121="",J121=""),"",IF(H121=I121,"",ABS(J121-H121)/ABS(H121-I121)))</f>
        <v/>
      </c>
      <c r="M121" s="9" t="str">
        <f aca="false">IF(OR(H121="",I121="",H121=I121),"",ROUNDDOWN(Config!$B$11/ABS(H121-I121),0))</f>
        <v/>
      </c>
    </row>
    <row r="122" customFormat="false" ht="15" hidden="false" customHeight="false" outlineLevel="0" collapsed="false">
      <c r="L122" s="20" t="str">
        <f aca="false">IF(OR(H122="",I122="",J122=""),"",IF(H122=I122,"",ABS(J122-H122)/ABS(H122-I122)))</f>
        <v/>
      </c>
      <c r="M122" s="9" t="str">
        <f aca="false">IF(OR(H122="",I122="",H122=I122),"",ROUNDDOWN(Config!$B$11/ABS(H122-I122),0))</f>
        <v/>
      </c>
    </row>
    <row r="123" customFormat="false" ht="15" hidden="false" customHeight="false" outlineLevel="0" collapsed="false">
      <c r="L123" s="20" t="str">
        <f aca="false">IF(OR(H123="",I123="",J123=""),"",IF(H123=I123,"",ABS(J123-H123)/ABS(H123-I123)))</f>
        <v/>
      </c>
      <c r="M123" s="9" t="str">
        <f aca="false">IF(OR(H123="",I123="",H123=I123),"",ROUNDDOWN(Config!$B$11/ABS(H123-I123),0))</f>
        <v/>
      </c>
    </row>
    <row r="124" customFormat="false" ht="15" hidden="false" customHeight="false" outlineLevel="0" collapsed="false">
      <c r="L124" s="20" t="str">
        <f aca="false">IF(OR(H124="",I124="",J124=""),"",IF(H124=I124,"",ABS(J124-H124)/ABS(H124-I124)))</f>
        <v/>
      </c>
      <c r="M124" s="9" t="str">
        <f aca="false">IF(OR(H124="",I124="",H124=I124),"",ROUNDDOWN(Config!$B$11/ABS(H124-I124),0))</f>
        <v/>
      </c>
    </row>
    <row r="125" customFormat="false" ht="15" hidden="false" customHeight="false" outlineLevel="0" collapsed="false">
      <c r="L125" s="20" t="str">
        <f aca="false">IF(OR(H125="",I125="",J125=""),"",IF(H125=I125,"",ABS(J125-H125)/ABS(H125-I125)))</f>
        <v/>
      </c>
      <c r="M125" s="9" t="str">
        <f aca="false">IF(OR(H125="",I125="",H125=I125),"",ROUNDDOWN(Config!$B$11/ABS(H125-I125),0))</f>
        <v/>
      </c>
    </row>
    <row r="126" customFormat="false" ht="15" hidden="false" customHeight="false" outlineLevel="0" collapsed="false">
      <c r="L126" s="20" t="str">
        <f aca="false">IF(OR(H126="",I126="",J126=""),"",IF(H126=I126,"",ABS(J126-H126)/ABS(H126-I126)))</f>
        <v/>
      </c>
      <c r="M126" s="9" t="str">
        <f aca="false">IF(OR(H126="",I126="",H126=I126),"",ROUNDDOWN(Config!$B$11/ABS(H126-I126),0))</f>
        <v/>
      </c>
    </row>
    <row r="127" customFormat="false" ht="15" hidden="false" customHeight="false" outlineLevel="0" collapsed="false">
      <c r="L127" s="20" t="str">
        <f aca="false">IF(OR(H127="",I127="",J127=""),"",IF(H127=I127,"",ABS(J127-H127)/ABS(H127-I127)))</f>
        <v/>
      </c>
      <c r="M127" s="9" t="str">
        <f aca="false">IF(OR(H127="",I127="",H127=I127),"",ROUNDDOWN(Config!$B$11/ABS(H127-I127),0))</f>
        <v/>
      </c>
    </row>
    <row r="128" customFormat="false" ht="15" hidden="false" customHeight="false" outlineLevel="0" collapsed="false">
      <c r="L128" s="20" t="str">
        <f aca="false">IF(OR(H128="",I128="",J128=""),"",IF(H128=I128,"",ABS(J128-H128)/ABS(H128-I128)))</f>
        <v/>
      </c>
      <c r="M128" s="9" t="str">
        <f aca="false">IF(OR(H128="",I128="",H128=I128),"",ROUNDDOWN(Config!$B$11/ABS(H128-I128),0))</f>
        <v/>
      </c>
    </row>
    <row r="129" customFormat="false" ht="15" hidden="false" customHeight="false" outlineLevel="0" collapsed="false">
      <c r="L129" s="20" t="str">
        <f aca="false">IF(OR(H129="",I129="",J129=""),"",IF(H129=I129,"",ABS(J129-H129)/ABS(H129-I129)))</f>
        <v/>
      </c>
      <c r="M129" s="9" t="str">
        <f aca="false">IF(OR(H129="",I129="",H129=I129),"",ROUNDDOWN(Config!$B$11/ABS(H129-I129),0))</f>
        <v/>
      </c>
    </row>
    <row r="130" customFormat="false" ht="15" hidden="false" customHeight="false" outlineLevel="0" collapsed="false">
      <c r="L130" s="20" t="str">
        <f aca="false">IF(OR(H130="",I130="",J130=""),"",IF(H130=I130,"",ABS(J130-H130)/ABS(H130-I130)))</f>
        <v/>
      </c>
      <c r="M130" s="9" t="str">
        <f aca="false">IF(OR(H130="",I130="",H130=I130),"",ROUNDDOWN(Config!$B$11/ABS(H130-I130),0))</f>
        <v/>
      </c>
    </row>
    <row r="131" customFormat="false" ht="15" hidden="false" customHeight="false" outlineLevel="0" collapsed="false">
      <c r="L131" s="20" t="str">
        <f aca="false">IF(OR(H131="",I131="",J131=""),"",IF(H131=I131,"",ABS(J131-H131)/ABS(H131-I131)))</f>
        <v/>
      </c>
      <c r="M131" s="9" t="str">
        <f aca="false">IF(OR(H131="",I131="",H131=I131),"",ROUNDDOWN(Config!$B$11/ABS(H131-I131),0))</f>
        <v/>
      </c>
    </row>
    <row r="132" customFormat="false" ht="15" hidden="false" customHeight="false" outlineLevel="0" collapsed="false">
      <c r="L132" s="20" t="str">
        <f aca="false">IF(OR(H132="",I132="",J132=""),"",IF(H132=I132,"",ABS(J132-H132)/ABS(H132-I132)))</f>
        <v/>
      </c>
      <c r="M132" s="9" t="str">
        <f aca="false">IF(OR(H132="",I132="",H132=I132),"",ROUNDDOWN(Config!$B$11/ABS(H132-I132),0))</f>
        <v/>
      </c>
    </row>
    <row r="133" customFormat="false" ht="15" hidden="false" customHeight="false" outlineLevel="0" collapsed="false">
      <c r="L133" s="20" t="str">
        <f aca="false">IF(OR(H133="",I133="",J133=""),"",IF(H133=I133,"",ABS(J133-H133)/ABS(H133-I133)))</f>
        <v/>
      </c>
      <c r="M133" s="9" t="str">
        <f aca="false">IF(OR(H133="",I133="",H133=I133),"",ROUNDDOWN(Config!$B$11/ABS(H133-I133),0))</f>
        <v/>
      </c>
    </row>
    <row r="134" customFormat="false" ht="15" hidden="false" customHeight="false" outlineLevel="0" collapsed="false">
      <c r="L134" s="20" t="str">
        <f aca="false">IF(OR(H134="",I134="",J134=""),"",IF(H134=I134,"",ABS(J134-H134)/ABS(H134-I134)))</f>
        <v/>
      </c>
      <c r="M134" s="9" t="str">
        <f aca="false">IF(OR(H134="",I134="",H134=I134),"",ROUNDDOWN(Config!$B$11/ABS(H134-I134),0))</f>
        <v/>
      </c>
    </row>
    <row r="135" customFormat="false" ht="15" hidden="false" customHeight="false" outlineLevel="0" collapsed="false">
      <c r="L135" s="20" t="str">
        <f aca="false">IF(OR(H135="",I135="",J135=""),"",IF(H135=I135,"",ABS(J135-H135)/ABS(H135-I135)))</f>
        <v/>
      </c>
      <c r="M135" s="9" t="str">
        <f aca="false">IF(OR(H135="",I135="",H135=I135),"",ROUNDDOWN(Config!$B$11/ABS(H135-I135),0))</f>
        <v/>
      </c>
    </row>
    <row r="136" customFormat="false" ht="15" hidden="false" customHeight="false" outlineLevel="0" collapsed="false">
      <c r="L136" s="20" t="str">
        <f aca="false">IF(OR(H136="",I136="",J136=""),"",IF(H136=I136,"",ABS(J136-H136)/ABS(H136-I136)))</f>
        <v/>
      </c>
      <c r="M136" s="9" t="str">
        <f aca="false">IF(OR(H136="",I136="",H136=I136),"",ROUNDDOWN(Config!$B$11/ABS(H136-I136),0))</f>
        <v/>
      </c>
    </row>
    <row r="137" customFormat="false" ht="15" hidden="false" customHeight="false" outlineLevel="0" collapsed="false">
      <c r="L137" s="20" t="str">
        <f aca="false">IF(OR(H137="",I137="",J137=""),"",IF(H137=I137,"",ABS(J137-H137)/ABS(H137-I137)))</f>
        <v/>
      </c>
      <c r="M137" s="9" t="str">
        <f aca="false">IF(OR(H137="",I137="",H137=I137),"",ROUNDDOWN(Config!$B$11/ABS(H137-I137),0))</f>
        <v/>
      </c>
    </row>
    <row r="138" customFormat="false" ht="15" hidden="false" customHeight="false" outlineLevel="0" collapsed="false">
      <c r="L138" s="20" t="str">
        <f aca="false">IF(OR(H138="",I138="",J138=""),"",IF(H138=I138,"",ABS(J138-H138)/ABS(H138-I138)))</f>
        <v/>
      </c>
      <c r="M138" s="9" t="str">
        <f aca="false">IF(OR(H138="",I138="",H138=I138),"",ROUNDDOWN(Config!$B$11/ABS(H138-I138),0))</f>
        <v/>
      </c>
    </row>
    <row r="139" customFormat="false" ht="15" hidden="false" customHeight="false" outlineLevel="0" collapsed="false">
      <c r="L139" s="20" t="str">
        <f aca="false">IF(OR(H139="",I139="",J139=""),"",IF(H139=I139,"",ABS(J139-H139)/ABS(H139-I139)))</f>
        <v/>
      </c>
      <c r="M139" s="9" t="str">
        <f aca="false">IF(OR(H139="",I139="",H139=I139),"",ROUNDDOWN(Config!$B$11/ABS(H139-I139),0))</f>
        <v/>
      </c>
    </row>
    <row r="140" customFormat="false" ht="15" hidden="false" customHeight="false" outlineLevel="0" collapsed="false">
      <c r="L140" s="20" t="str">
        <f aca="false">IF(OR(H140="",I140="",J140=""),"",IF(H140=I140,"",ABS(J140-H140)/ABS(H140-I140)))</f>
        <v/>
      </c>
      <c r="M140" s="9" t="str">
        <f aca="false">IF(OR(H140="",I140="",H140=I140),"",ROUNDDOWN(Config!$B$11/ABS(H140-I140),0))</f>
        <v/>
      </c>
    </row>
    <row r="141" customFormat="false" ht="15" hidden="false" customHeight="false" outlineLevel="0" collapsed="false">
      <c r="L141" s="20" t="str">
        <f aca="false">IF(OR(H141="",I141="",J141=""),"",IF(H141=I141,"",ABS(J141-H141)/ABS(H141-I141)))</f>
        <v/>
      </c>
      <c r="M141" s="9" t="str">
        <f aca="false">IF(OR(H141="",I141="",H141=I141),"",ROUNDDOWN(Config!$B$11/ABS(H141-I141),0))</f>
        <v/>
      </c>
    </row>
    <row r="142" customFormat="false" ht="15" hidden="false" customHeight="false" outlineLevel="0" collapsed="false">
      <c r="L142" s="20" t="str">
        <f aca="false">IF(OR(H142="",I142="",J142=""),"",IF(H142=I142,"",ABS(J142-H142)/ABS(H142-I142)))</f>
        <v/>
      </c>
      <c r="M142" s="9" t="str">
        <f aca="false">IF(OR(H142="",I142="",H142=I142),"",ROUNDDOWN(Config!$B$11/ABS(H142-I142),0))</f>
        <v/>
      </c>
    </row>
    <row r="143" customFormat="false" ht="15" hidden="false" customHeight="false" outlineLevel="0" collapsed="false">
      <c r="L143" s="20" t="str">
        <f aca="false">IF(OR(H143="",I143="",J143=""),"",IF(H143=I143,"",ABS(J143-H143)/ABS(H143-I143)))</f>
        <v/>
      </c>
      <c r="M143" s="9" t="str">
        <f aca="false">IF(OR(H143="",I143="",H143=I143),"",ROUNDDOWN(Config!$B$11/ABS(H143-I143),0))</f>
        <v/>
      </c>
    </row>
    <row r="144" customFormat="false" ht="15" hidden="false" customHeight="false" outlineLevel="0" collapsed="false">
      <c r="L144" s="20" t="str">
        <f aca="false">IF(OR(H144="",I144="",J144=""),"",IF(H144=I144,"",ABS(J144-H144)/ABS(H144-I144)))</f>
        <v/>
      </c>
      <c r="M144" s="9" t="str">
        <f aca="false">IF(OR(H144="",I144="",H144=I144),"",ROUNDDOWN(Config!$B$11/ABS(H144-I144),0))</f>
        <v/>
      </c>
    </row>
    <row r="145" customFormat="false" ht="15" hidden="false" customHeight="false" outlineLevel="0" collapsed="false">
      <c r="L145" s="20" t="str">
        <f aca="false">IF(OR(H145="",I145="",J145=""),"",IF(H145=I145,"",ABS(J145-H145)/ABS(H145-I145)))</f>
        <v/>
      </c>
      <c r="M145" s="9" t="str">
        <f aca="false">IF(OR(H145="",I145="",H145=I145),"",ROUNDDOWN(Config!$B$11/ABS(H145-I145),0))</f>
        <v/>
      </c>
    </row>
    <row r="146" customFormat="false" ht="15" hidden="false" customHeight="false" outlineLevel="0" collapsed="false">
      <c r="L146" s="20" t="str">
        <f aca="false">IF(OR(H146="",I146="",J146=""),"",IF(H146=I146,"",ABS(J146-H146)/ABS(H146-I146)))</f>
        <v/>
      </c>
      <c r="M146" s="9" t="str">
        <f aca="false">IF(OR(H146="",I146="",H146=I146),"",ROUNDDOWN(Config!$B$11/ABS(H146-I146),0))</f>
        <v/>
      </c>
    </row>
    <row r="147" customFormat="false" ht="15" hidden="false" customHeight="false" outlineLevel="0" collapsed="false">
      <c r="L147" s="20" t="str">
        <f aca="false">IF(OR(H147="",I147="",J147=""),"",IF(H147=I147,"",ABS(J147-H147)/ABS(H147-I147)))</f>
        <v/>
      </c>
      <c r="M147" s="9" t="str">
        <f aca="false">IF(OR(H147="",I147="",H147=I147),"",ROUNDDOWN(Config!$B$11/ABS(H147-I147),0))</f>
        <v/>
      </c>
    </row>
    <row r="148" customFormat="false" ht="15" hidden="false" customHeight="false" outlineLevel="0" collapsed="false">
      <c r="L148" s="20" t="str">
        <f aca="false">IF(OR(H148="",I148="",J148=""),"",IF(H148=I148,"",ABS(J148-H148)/ABS(H148-I148)))</f>
        <v/>
      </c>
      <c r="M148" s="9" t="str">
        <f aca="false">IF(OR(H148="",I148="",H148=I148),"",ROUNDDOWN(Config!$B$11/ABS(H148-I148),0))</f>
        <v/>
      </c>
    </row>
    <row r="149" customFormat="false" ht="15" hidden="false" customHeight="false" outlineLevel="0" collapsed="false">
      <c r="L149" s="20" t="str">
        <f aca="false">IF(OR(H149="",I149="",J149=""),"",IF(H149=I149,"",ABS(J149-H149)/ABS(H149-I149)))</f>
        <v/>
      </c>
      <c r="M149" s="9" t="str">
        <f aca="false">IF(OR(H149="",I149="",H149=I149),"",ROUNDDOWN(Config!$B$11/ABS(H149-I149),0))</f>
        <v/>
      </c>
    </row>
    <row r="150" customFormat="false" ht="15" hidden="false" customHeight="false" outlineLevel="0" collapsed="false">
      <c r="L150" s="20" t="str">
        <f aca="false">IF(OR(H150="",I150="",J150=""),"",IF(H150=I150,"",ABS(J150-H150)/ABS(H150-I150)))</f>
        <v/>
      </c>
      <c r="M150" s="9" t="str">
        <f aca="false">IF(OR(H150="",I150="",H150=I150),"",ROUNDDOWN(Config!$B$11/ABS(H150-I150),0))</f>
        <v/>
      </c>
    </row>
    <row r="151" customFormat="false" ht="15" hidden="false" customHeight="false" outlineLevel="0" collapsed="false">
      <c r="L151" s="20" t="str">
        <f aca="false">IF(OR(H151="",I151="",J151=""),"",IF(H151=I151,"",ABS(J151-H151)/ABS(H151-I151)))</f>
        <v/>
      </c>
      <c r="M151" s="9" t="str">
        <f aca="false">IF(OR(H151="",I151="",H151=I151),"",ROUNDDOWN(Config!$B$11/ABS(H151-I151),0))</f>
        <v/>
      </c>
    </row>
    <row r="152" customFormat="false" ht="15" hidden="false" customHeight="false" outlineLevel="0" collapsed="false">
      <c r="L152" s="20" t="str">
        <f aca="false">IF(OR(H152="",I152="",J152=""),"",IF(H152=I152,"",ABS(J152-H152)/ABS(H152-I152)))</f>
        <v/>
      </c>
      <c r="M152" s="9" t="str">
        <f aca="false">IF(OR(H152="",I152="",H152=I152),"",ROUNDDOWN(Config!$B$11/ABS(H152-I152),0))</f>
        <v/>
      </c>
    </row>
    <row r="153" customFormat="false" ht="15" hidden="false" customHeight="false" outlineLevel="0" collapsed="false">
      <c r="L153" s="20" t="str">
        <f aca="false">IF(OR(H153="",I153="",J153=""),"",IF(H153=I153,"",ABS(J153-H153)/ABS(H153-I153)))</f>
        <v/>
      </c>
      <c r="M153" s="9" t="str">
        <f aca="false">IF(OR(H153="",I153="",H153=I153),"",ROUNDDOWN(Config!$B$11/ABS(H153-I153),0))</f>
        <v/>
      </c>
    </row>
    <row r="154" customFormat="false" ht="15" hidden="false" customHeight="false" outlineLevel="0" collapsed="false">
      <c r="L154" s="20" t="str">
        <f aca="false">IF(OR(H154="",I154="",J154=""),"",IF(H154=I154,"",ABS(J154-H154)/ABS(H154-I154)))</f>
        <v/>
      </c>
      <c r="M154" s="9" t="str">
        <f aca="false">IF(OR(H154="",I154="",H154=I154),"",ROUNDDOWN(Config!$B$11/ABS(H154-I154),0))</f>
        <v/>
      </c>
    </row>
    <row r="155" customFormat="false" ht="15" hidden="false" customHeight="false" outlineLevel="0" collapsed="false">
      <c r="L155" s="20" t="str">
        <f aca="false">IF(OR(H155="",I155="",J155=""),"",IF(H155=I155,"",ABS(J155-H155)/ABS(H155-I155)))</f>
        <v/>
      </c>
      <c r="M155" s="9" t="str">
        <f aca="false">IF(OR(H155="",I155="",H155=I155),"",ROUNDDOWN(Config!$B$11/ABS(H155-I155),0))</f>
        <v/>
      </c>
    </row>
    <row r="156" customFormat="false" ht="15" hidden="false" customHeight="false" outlineLevel="0" collapsed="false">
      <c r="L156" s="20" t="str">
        <f aca="false">IF(OR(H156="",I156="",J156=""),"",IF(H156=I156,"",ABS(J156-H156)/ABS(H156-I156)))</f>
        <v/>
      </c>
      <c r="M156" s="9" t="str">
        <f aca="false">IF(OR(H156="",I156="",H156=I156),"",ROUNDDOWN(Config!$B$11/ABS(H156-I156),0))</f>
        <v/>
      </c>
    </row>
    <row r="157" customFormat="false" ht="15" hidden="false" customHeight="false" outlineLevel="0" collapsed="false">
      <c r="L157" s="20" t="str">
        <f aca="false">IF(OR(H157="",I157="",J157=""),"",IF(H157=I157,"",ABS(J157-H157)/ABS(H157-I157)))</f>
        <v/>
      </c>
      <c r="M157" s="9" t="str">
        <f aca="false">IF(OR(H157="",I157="",H157=I157),"",ROUNDDOWN(Config!$B$11/ABS(H157-I157),0))</f>
        <v/>
      </c>
    </row>
    <row r="158" customFormat="false" ht="15" hidden="false" customHeight="false" outlineLevel="0" collapsed="false">
      <c r="L158" s="20" t="str">
        <f aca="false">IF(OR(H158="",I158="",J158=""),"",IF(H158=I158,"",ABS(J158-H158)/ABS(H158-I158)))</f>
        <v/>
      </c>
      <c r="M158" s="9" t="str">
        <f aca="false">IF(OR(H158="",I158="",H158=I158),"",ROUNDDOWN(Config!$B$11/ABS(H158-I158),0))</f>
        <v/>
      </c>
    </row>
    <row r="159" customFormat="false" ht="15" hidden="false" customHeight="false" outlineLevel="0" collapsed="false">
      <c r="L159" s="20" t="str">
        <f aca="false">IF(OR(H159="",I159="",J159=""),"",IF(H159=I159,"",ABS(J159-H159)/ABS(H159-I159)))</f>
        <v/>
      </c>
      <c r="M159" s="9" t="str">
        <f aca="false">IF(OR(H159="",I159="",H159=I159),"",ROUNDDOWN(Config!$B$11/ABS(H159-I159),0))</f>
        <v/>
      </c>
    </row>
    <row r="160" customFormat="false" ht="15" hidden="false" customHeight="false" outlineLevel="0" collapsed="false">
      <c r="L160" s="20" t="str">
        <f aca="false">IF(OR(H160="",I160="",J160=""),"",IF(H160=I160,"",ABS(J160-H160)/ABS(H160-I160)))</f>
        <v/>
      </c>
      <c r="M160" s="9" t="str">
        <f aca="false">IF(OR(H160="",I160="",H160=I160),"",ROUNDDOWN(Config!$B$11/ABS(H160-I160),0))</f>
        <v/>
      </c>
    </row>
    <row r="161" customFormat="false" ht="15" hidden="false" customHeight="false" outlineLevel="0" collapsed="false">
      <c r="L161" s="20" t="str">
        <f aca="false">IF(OR(H161="",I161="",J161=""),"",IF(H161=I161,"",ABS(J161-H161)/ABS(H161-I161)))</f>
        <v/>
      </c>
      <c r="M161" s="9" t="str">
        <f aca="false">IF(OR(H161="",I161="",H161=I161),"",ROUNDDOWN(Config!$B$11/ABS(H161-I161),0))</f>
        <v/>
      </c>
    </row>
    <row r="162" customFormat="false" ht="15" hidden="false" customHeight="false" outlineLevel="0" collapsed="false">
      <c r="L162" s="20" t="str">
        <f aca="false">IF(OR(H162="",I162="",J162=""),"",IF(H162=I162,"",ABS(J162-H162)/ABS(H162-I162)))</f>
        <v/>
      </c>
      <c r="M162" s="9" t="str">
        <f aca="false">IF(OR(H162="",I162="",H162=I162),"",ROUNDDOWN(Config!$B$11/ABS(H162-I162),0))</f>
        <v/>
      </c>
    </row>
    <row r="163" customFormat="false" ht="15" hidden="false" customHeight="false" outlineLevel="0" collapsed="false">
      <c r="L163" s="20" t="str">
        <f aca="false">IF(OR(H163="",I163="",J163=""),"",IF(H163=I163,"",ABS(J163-H163)/ABS(H163-I163)))</f>
        <v/>
      </c>
      <c r="M163" s="9" t="str">
        <f aca="false">IF(OR(H163="",I163="",H163=I163),"",ROUNDDOWN(Config!$B$11/ABS(H163-I163),0))</f>
        <v/>
      </c>
    </row>
    <row r="164" customFormat="false" ht="15" hidden="false" customHeight="false" outlineLevel="0" collapsed="false">
      <c r="L164" s="20" t="str">
        <f aca="false">IF(OR(H164="",I164="",J164=""),"",IF(H164=I164,"",ABS(J164-H164)/ABS(H164-I164)))</f>
        <v/>
      </c>
      <c r="M164" s="9" t="str">
        <f aca="false">IF(OR(H164="",I164="",H164=I164),"",ROUNDDOWN(Config!$B$11/ABS(H164-I164),0))</f>
        <v/>
      </c>
    </row>
    <row r="165" customFormat="false" ht="15" hidden="false" customHeight="false" outlineLevel="0" collapsed="false">
      <c r="L165" s="20" t="str">
        <f aca="false">IF(OR(H165="",I165="",J165=""),"",IF(H165=I165,"",ABS(J165-H165)/ABS(H165-I165)))</f>
        <v/>
      </c>
      <c r="M165" s="9" t="str">
        <f aca="false">IF(OR(H165="",I165="",H165=I165),"",ROUNDDOWN(Config!$B$11/ABS(H165-I165),0))</f>
        <v/>
      </c>
    </row>
    <row r="166" customFormat="false" ht="15" hidden="false" customHeight="false" outlineLevel="0" collapsed="false">
      <c r="L166" s="20" t="str">
        <f aca="false">IF(OR(H166="",I166="",J166=""),"",IF(H166=I166,"",ABS(J166-H166)/ABS(H166-I166)))</f>
        <v/>
      </c>
      <c r="M166" s="9" t="str">
        <f aca="false">IF(OR(H166="",I166="",H166=I166),"",ROUNDDOWN(Config!$B$11/ABS(H166-I166),0))</f>
        <v/>
      </c>
    </row>
    <row r="167" customFormat="false" ht="15" hidden="false" customHeight="false" outlineLevel="0" collapsed="false">
      <c r="L167" s="20" t="str">
        <f aca="false">IF(OR(H167="",I167="",J167=""),"",IF(H167=I167,"",ABS(J167-H167)/ABS(H167-I167)))</f>
        <v/>
      </c>
      <c r="M167" s="9" t="str">
        <f aca="false">IF(OR(H167="",I167="",H167=I167),"",ROUNDDOWN(Config!$B$11/ABS(H167-I167),0))</f>
        <v/>
      </c>
    </row>
    <row r="168" customFormat="false" ht="15" hidden="false" customHeight="false" outlineLevel="0" collapsed="false">
      <c r="L168" s="20" t="str">
        <f aca="false">IF(OR(H168="",I168="",J168=""),"",IF(H168=I168,"",ABS(J168-H168)/ABS(H168-I168)))</f>
        <v/>
      </c>
      <c r="M168" s="9" t="str">
        <f aca="false">IF(OR(H168="",I168="",H168=I168),"",ROUNDDOWN(Config!$B$11/ABS(H168-I168),0))</f>
        <v/>
      </c>
    </row>
    <row r="169" customFormat="false" ht="15" hidden="false" customHeight="false" outlineLevel="0" collapsed="false">
      <c r="L169" s="20" t="str">
        <f aca="false">IF(OR(H169="",I169="",J169=""),"",IF(H169=I169,"",ABS(J169-H169)/ABS(H169-I169)))</f>
        <v/>
      </c>
      <c r="M169" s="9" t="str">
        <f aca="false">IF(OR(H169="",I169="",H169=I169),"",ROUNDDOWN(Config!$B$11/ABS(H169-I169),0))</f>
        <v/>
      </c>
    </row>
    <row r="170" customFormat="false" ht="15" hidden="false" customHeight="false" outlineLevel="0" collapsed="false">
      <c r="L170" s="20" t="str">
        <f aca="false">IF(OR(H170="",I170="",J170=""),"",IF(H170=I170,"",ABS(J170-H170)/ABS(H170-I170)))</f>
        <v/>
      </c>
      <c r="M170" s="9" t="str">
        <f aca="false">IF(OR(H170="",I170="",H170=I170),"",ROUNDDOWN(Config!$B$11/ABS(H170-I170),0))</f>
        <v/>
      </c>
    </row>
    <row r="171" customFormat="false" ht="15" hidden="false" customHeight="false" outlineLevel="0" collapsed="false">
      <c r="L171" s="20" t="str">
        <f aca="false">IF(OR(H171="",I171="",J171=""),"",IF(H171=I171,"",ABS(J171-H171)/ABS(H171-I171)))</f>
        <v/>
      </c>
      <c r="M171" s="9" t="str">
        <f aca="false">IF(OR(H171="",I171="",H171=I171),"",ROUNDDOWN(Config!$B$11/ABS(H171-I171),0))</f>
        <v/>
      </c>
    </row>
    <row r="172" customFormat="false" ht="15" hidden="false" customHeight="false" outlineLevel="0" collapsed="false">
      <c r="L172" s="20" t="str">
        <f aca="false">IF(OR(H172="",I172="",J172=""),"",IF(H172=I172,"",ABS(J172-H172)/ABS(H172-I172)))</f>
        <v/>
      </c>
      <c r="M172" s="9" t="str">
        <f aca="false">IF(OR(H172="",I172="",H172=I172),"",ROUNDDOWN(Config!$B$11/ABS(H172-I172),0))</f>
        <v/>
      </c>
    </row>
    <row r="173" customFormat="false" ht="15" hidden="false" customHeight="false" outlineLevel="0" collapsed="false">
      <c r="L173" s="20" t="str">
        <f aca="false">IF(OR(H173="",I173="",J173=""),"",IF(H173=I173,"",ABS(J173-H173)/ABS(H173-I173)))</f>
        <v/>
      </c>
      <c r="M173" s="9" t="str">
        <f aca="false">IF(OR(H173="",I173="",H173=I173),"",ROUNDDOWN(Config!$B$11/ABS(H173-I173),0))</f>
        <v/>
      </c>
    </row>
    <row r="174" customFormat="false" ht="15" hidden="false" customHeight="false" outlineLevel="0" collapsed="false">
      <c r="L174" s="20" t="str">
        <f aca="false">IF(OR(H174="",I174="",J174=""),"",IF(H174=I174,"",ABS(J174-H174)/ABS(H174-I174)))</f>
        <v/>
      </c>
      <c r="M174" s="9" t="str">
        <f aca="false">IF(OR(H174="",I174="",H174=I174),"",ROUNDDOWN(Config!$B$11/ABS(H174-I174),0))</f>
        <v/>
      </c>
    </row>
    <row r="175" customFormat="false" ht="15" hidden="false" customHeight="false" outlineLevel="0" collapsed="false">
      <c r="L175" s="20" t="str">
        <f aca="false">IF(OR(H175="",I175="",J175=""),"",IF(H175=I175,"",ABS(J175-H175)/ABS(H175-I175)))</f>
        <v/>
      </c>
      <c r="M175" s="9" t="str">
        <f aca="false">IF(OR(H175="",I175="",H175=I175),"",ROUNDDOWN(Config!$B$11/ABS(H175-I175),0))</f>
        <v/>
      </c>
    </row>
    <row r="176" customFormat="false" ht="15" hidden="false" customHeight="false" outlineLevel="0" collapsed="false">
      <c r="L176" s="20" t="str">
        <f aca="false">IF(OR(H176="",I176="",J176=""),"",IF(H176=I176,"",ABS(J176-H176)/ABS(H176-I176)))</f>
        <v/>
      </c>
      <c r="M176" s="9" t="str">
        <f aca="false">IF(OR(H176="",I176="",H176=I176),"",ROUNDDOWN(Config!$B$11/ABS(H176-I176),0))</f>
        <v/>
      </c>
    </row>
    <row r="177" customFormat="false" ht="15" hidden="false" customHeight="false" outlineLevel="0" collapsed="false">
      <c r="L177" s="20" t="str">
        <f aca="false">IF(OR(H177="",I177="",J177=""),"",IF(H177=I177,"",ABS(J177-H177)/ABS(H177-I177)))</f>
        <v/>
      </c>
      <c r="M177" s="9" t="str">
        <f aca="false">IF(OR(H177="",I177="",H177=I177),"",ROUNDDOWN(Config!$B$11/ABS(H177-I177),0))</f>
        <v/>
      </c>
    </row>
    <row r="178" customFormat="false" ht="15" hidden="false" customHeight="false" outlineLevel="0" collapsed="false">
      <c r="L178" s="20" t="str">
        <f aca="false">IF(OR(H178="",I178="",J178=""),"",IF(H178=I178,"",ABS(J178-H178)/ABS(H178-I178)))</f>
        <v/>
      </c>
      <c r="M178" s="9" t="str">
        <f aca="false">IF(OR(H178="",I178="",H178=I178),"",ROUNDDOWN(Config!$B$11/ABS(H178-I178),0))</f>
        <v/>
      </c>
    </row>
    <row r="179" customFormat="false" ht="15" hidden="false" customHeight="false" outlineLevel="0" collapsed="false">
      <c r="L179" s="20" t="str">
        <f aca="false">IF(OR(H179="",I179="",J179=""),"",IF(H179=I179,"",ABS(J179-H179)/ABS(H179-I179)))</f>
        <v/>
      </c>
      <c r="M179" s="9" t="str">
        <f aca="false">IF(OR(H179="",I179="",H179=I179),"",ROUNDDOWN(Config!$B$11/ABS(H179-I179),0))</f>
        <v/>
      </c>
    </row>
    <row r="180" customFormat="false" ht="15" hidden="false" customHeight="false" outlineLevel="0" collapsed="false">
      <c r="L180" s="20" t="str">
        <f aca="false">IF(OR(H180="",I180="",J180=""),"",IF(H180=I180,"",ABS(J180-H180)/ABS(H180-I180)))</f>
        <v/>
      </c>
      <c r="M180" s="9" t="str">
        <f aca="false">IF(OR(H180="",I180="",H180=I180),"",ROUNDDOWN(Config!$B$11/ABS(H180-I180),0))</f>
        <v/>
      </c>
    </row>
    <row r="181" customFormat="false" ht="15" hidden="false" customHeight="false" outlineLevel="0" collapsed="false">
      <c r="L181" s="20" t="str">
        <f aca="false">IF(OR(H181="",I181="",J181=""),"",IF(H181=I181,"",ABS(J181-H181)/ABS(H181-I181)))</f>
        <v/>
      </c>
      <c r="M181" s="9" t="str">
        <f aca="false">IF(OR(H181="",I181="",H181=I181),"",ROUNDDOWN(Config!$B$11/ABS(H181-I181),0))</f>
        <v/>
      </c>
    </row>
    <row r="182" customFormat="false" ht="15" hidden="false" customHeight="false" outlineLevel="0" collapsed="false">
      <c r="L182" s="20" t="str">
        <f aca="false">IF(OR(H182="",I182="",J182=""),"",IF(H182=I182,"",ABS(J182-H182)/ABS(H182-I182)))</f>
        <v/>
      </c>
      <c r="M182" s="9" t="str">
        <f aca="false">IF(OR(H182="",I182="",H182=I182),"",ROUNDDOWN(Config!$B$11/ABS(H182-I182),0))</f>
        <v/>
      </c>
    </row>
    <row r="183" customFormat="false" ht="15" hidden="false" customHeight="false" outlineLevel="0" collapsed="false">
      <c r="L183" s="20" t="str">
        <f aca="false">IF(OR(H183="",I183="",J183=""),"",IF(H183=I183,"",ABS(J183-H183)/ABS(H183-I183)))</f>
        <v/>
      </c>
      <c r="M183" s="9" t="str">
        <f aca="false">IF(OR(H183="",I183="",H183=I183),"",ROUNDDOWN(Config!$B$11/ABS(H183-I183),0))</f>
        <v/>
      </c>
    </row>
    <row r="184" customFormat="false" ht="15" hidden="false" customHeight="false" outlineLevel="0" collapsed="false">
      <c r="L184" s="20" t="str">
        <f aca="false">IF(OR(H184="",I184="",J184=""),"",IF(H184=I184,"",ABS(J184-H184)/ABS(H184-I184)))</f>
        <v/>
      </c>
      <c r="M184" s="9" t="str">
        <f aca="false">IF(OR(H184="",I184="",H184=I184),"",ROUNDDOWN(Config!$B$11/ABS(H184-I184),0))</f>
        <v/>
      </c>
    </row>
    <row r="185" customFormat="false" ht="15" hidden="false" customHeight="false" outlineLevel="0" collapsed="false">
      <c r="L185" s="20" t="str">
        <f aca="false">IF(OR(H185="",I185="",J185=""),"",IF(H185=I185,"",ABS(J185-H185)/ABS(H185-I185)))</f>
        <v/>
      </c>
      <c r="M185" s="9" t="str">
        <f aca="false">IF(OR(H185="",I185="",H185=I185),"",ROUNDDOWN(Config!$B$11/ABS(H185-I185),0))</f>
        <v/>
      </c>
    </row>
    <row r="186" customFormat="false" ht="15" hidden="false" customHeight="false" outlineLevel="0" collapsed="false">
      <c r="L186" s="20" t="str">
        <f aca="false">IF(OR(H186="",I186="",J186=""),"",IF(H186=I186,"",ABS(J186-H186)/ABS(H186-I186)))</f>
        <v/>
      </c>
      <c r="M186" s="9" t="str">
        <f aca="false">IF(OR(H186="",I186="",H186=I186),"",ROUNDDOWN(Config!$B$11/ABS(H186-I186),0))</f>
        <v/>
      </c>
    </row>
    <row r="187" customFormat="false" ht="15" hidden="false" customHeight="false" outlineLevel="0" collapsed="false">
      <c r="L187" s="20" t="str">
        <f aca="false">IF(OR(H187="",I187="",J187=""),"",IF(H187=I187,"",ABS(J187-H187)/ABS(H187-I187)))</f>
        <v/>
      </c>
      <c r="M187" s="9" t="str">
        <f aca="false">IF(OR(H187="",I187="",H187=I187),"",ROUNDDOWN(Config!$B$11/ABS(H187-I187),0))</f>
        <v/>
      </c>
    </row>
    <row r="188" customFormat="false" ht="15" hidden="false" customHeight="false" outlineLevel="0" collapsed="false">
      <c r="L188" s="20" t="str">
        <f aca="false">IF(OR(H188="",I188="",J188=""),"",IF(H188=I188,"",ABS(J188-H188)/ABS(H188-I188)))</f>
        <v/>
      </c>
      <c r="M188" s="9" t="str">
        <f aca="false">IF(OR(H188="",I188="",H188=I188),"",ROUNDDOWN(Config!$B$11/ABS(H188-I188),0))</f>
        <v/>
      </c>
    </row>
    <row r="189" customFormat="false" ht="15" hidden="false" customHeight="false" outlineLevel="0" collapsed="false">
      <c r="L189" s="20" t="str">
        <f aca="false">IF(OR(H189="",I189="",J189=""),"",IF(H189=I189,"",ABS(J189-H189)/ABS(H189-I189)))</f>
        <v/>
      </c>
      <c r="M189" s="9" t="str">
        <f aca="false">IF(OR(H189="",I189="",H189=I189),"",ROUNDDOWN(Config!$B$11/ABS(H189-I189),0))</f>
        <v/>
      </c>
    </row>
    <row r="190" customFormat="false" ht="15" hidden="false" customHeight="false" outlineLevel="0" collapsed="false">
      <c r="L190" s="20" t="str">
        <f aca="false">IF(OR(H190="",I190="",J190=""),"",IF(H190=I190,"",ABS(J190-H190)/ABS(H190-I190)))</f>
        <v/>
      </c>
      <c r="M190" s="9" t="str">
        <f aca="false">IF(OR(H190="",I190="",H190=I190),"",ROUNDDOWN(Config!$B$11/ABS(H190-I190),0))</f>
        <v/>
      </c>
    </row>
    <row r="191" customFormat="false" ht="15" hidden="false" customHeight="false" outlineLevel="0" collapsed="false">
      <c r="L191" s="20" t="str">
        <f aca="false">IF(OR(H191="",I191="",J191=""),"",IF(H191=I191,"",ABS(J191-H191)/ABS(H191-I191)))</f>
        <v/>
      </c>
      <c r="M191" s="9" t="str">
        <f aca="false">IF(OR(H191="",I191="",H191=I191),"",ROUNDDOWN(Config!$B$11/ABS(H191-I191),0))</f>
        <v/>
      </c>
    </row>
    <row r="192" customFormat="false" ht="15" hidden="false" customHeight="false" outlineLevel="0" collapsed="false">
      <c r="L192" s="20" t="str">
        <f aca="false">IF(OR(H192="",I192="",J192=""),"",IF(H192=I192,"",ABS(J192-H192)/ABS(H192-I192)))</f>
        <v/>
      </c>
      <c r="M192" s="9" t="str">
        <f aca="false">IF(OR(H192="",I192="",H192=I192),"",ROUNDDOWN(Config!$B$11/ABS(H192-I192),0))</f>
        <v/>
      </c>
    </row>
    <row r="193" customFormat="false" ht="15" hidden="false" customHeight="false" outlineLevel="0" collapsed="false">
      <c r="L193" s="20" t="str">
        <f aca="false">IF(OR(H193="",I193="",J193=""),"",IF(H193=I193,"",ABS(J193-H193)/ABS(H193-I193)))</f>
        <v/>
      </c>
      <c r="M193" s="9" t="str">
        <f aca="false">IF(OR(H193="",I193="",H193=I193),"",ROUNDDOWN(Config!$B$11/ABS(H193-I193),0))</f>
        <v/>
      </c>
    </row>
    <row r="194" customFormat="false" ht="15" hidden="false" customHeight="false" outlineLevel="0" collapsed="false">
      <c r="L194" s="20" t="str">
        <f aca="false">IF(OR(H194="",I194="",J194=""),"",IF(H194=I194,"",ABS(J194-H194)/ABS(H194-I194)))</f>
        <v/>
      </c>
      <c r="M194" s="9" t="str">
        <f aca="false">IF(OR(H194="",I194="",H194=I194),"",ROUNDDOWN(Config!$B$11/ABS(H194-I194),0))</f>
        <v/>
      </c>
    </row>
    <row r="195" customFormat="false" ht="15" hidden="false" customHeight="false" outlineLevel="0" collapsed="false">
      <c r="L195" s="20" t="str">
        <f aca="false">IF(OR(H195="",I195="",J195=""),"",IF(H195=I195,"",ABS(J195-H195)/ABS(H195-I195)))</f>
        <v/>
      </c>
      <c r="M195" s="9" t="str">
        <f aca="false">IF(OR(H195="",I195="",H195=I195),"",ROUNDDOWN(Config!$B$11/ABS(H195-I195),0))</f>
        <v/>
      </c>
    </row>
    <row r="196" customFormat="false" ht="15" hidden="false" customHeight="false" outlineLevel="0" collapsed="false">
      <c r="L196" s="20" t="str">
        <f aca="false">IF(OR(H196="",I196="",J196=""),"",IF(H196=I196,"",ABS(J196-H196)/ABS(H196-I196)))</f>
        <v/>
      </c>
      <c r="M196" s="9" t="str">
        <f aca="false">IF(OR(H196="",I196="",H196=I196),"",ROUNDDOWN(Config!$B$11/ABS(H196-I196),0))</f>
        <v/>
      </c>
    </row>
    <row r="197" customFormat="false" ht="15" hidden="false" customHeight="false" outlineLevel="0" collapsed="false">
      <c r="L197" s="20" t="str">
        <f aca="false">IF(OR(H197="",I197="",J197=""),"",IF(H197=I197,"",ABS(J197-H197)/ABS(H197-I197)))</f>
        <v/>
      </c>
      <c r="M197" s="9" t="str">
        <f aca="false">IF(OR(H197="",I197="",H197=I197),"",ROUNDDOWN(Config!$B$11/ABS(H197-I197),0))</f>
        <v/>
      </c>
    </row>
    <row r="198" customFormat="false" ht="15" hidden="false" customHeight="false" outlineLevel="0" collapsed="false">
      <c r="L198" s="20" t="str">
        <f aca="false">IF(OR(H198="",I198="",J198=""),"",IF(H198=I198,"",ABS(J198-H198)/ABS(H198-I198)))</f>
        <v/>
      </c>
      <c r="M198" s="9" t="str">
        <f aca="false">IF(OR(H198="",I198="",H198=I198),"",ROUNDDOWN(Config!$B$11/ABS(H198-I198),0))</f>
        <v/>
      </c>
    </row>
    <row r="199" customFormat="false" ht="15" hidden="false" customHeight="false" outlineLevel="0" collapsed="false">
      <c r="L199" s="20" t="str">
        <f aca="false">IF(OR(H199="",I199="",J199=""),"",IF(H199=I199,"",ABS(J199-H199)/ABS(H199-I199)))</f>
        <v/>
      </c>
      <c r="M199" s="9" t="str">
        <f aca="false">IF(OR(H199="",I199="",H199=I199),"",ROUNDDOWN(Config!$B$11/ABS(H199-I199),0))</f>
        <v/>
      </c>
    </row>
    <row r="200" customFormat="false" ht="15" hidden="false" customHeight="false" outlineLevel="0" collapsed="false">
      <c r="L200" s="20" t="str">
        <f aca="false">IF(OR(H200="",I200="",J200=""),"",IF(H200=I200,"",ABS(J200-H200)/ABS(H200-I200)))</f>
        <v/>
      </c>
      <c r="M200" s="9" t="str">
        <f aca="false">IF(OR(H200="",I200="",H200=I200),"",ROUNDDOWN(Config!$B$11/ABS(H200-I200),0))</f>
        <v/>
      </c>
    </row>
    <row r="201" customFormat="false" ht="15" hidden="false" customHeight="false" outlineLevel="0" collapsed="false">
      <c r="L201" s="20" t="str">
        <f aca="false">IF(OR(H201="",I201="",J201=""),"",IF(H201=I201,"",ABS(J201-H201)/ABS(H201-I201)))</f>
        <v/>
      </c>
      <c r="M201" s="9" t="str">
        <f aca="false">IF(OR(H201="",I201="",H201=I201),"",ROUNDDOWN(Config!$B$11/ABS(H201-I201),0))</f>
        <v/>
      </c>
    </row>
    <row r="202" customFormat="false" ht="15" hidden="false" customHeight="false" outlineLevel="0" collapsed="false">
      <c r="L202" s="20" t="str">
        <f aca="false">IF(OR(H202="",I202="",J202=""),"",IF(H202=I202,"",ABS(J202-H202)/ABS(H202-I202)))</f>
        <v/>
      </c>
      <c r="M202" s="9" t="str">
        <f aca="false">IF(OR(H202="",I202="",H202=I202),"",ROUNDDOWN(Config!$B$11/ABS(H202-I202),0))</f>
        <v/>
      </c>
    </row>
    <row r="203" customFormat="false" ht="15" hidden="false" customHeight="false" outlineLevel="0" collapsed="false">
      <c r="L203" s="20" t="str">
        <f aca="false">IF(OR(H203="",I203="",J203=""),"",IF(H203=I203,"",ABS(J203-H203)/ABS(H203-I203)))</f>
        <v/>
      </c>
      <c r="M203" s="9" t="str">
        <f aca="false">IF(OR(H203="",I203="",H203=I203),"",ROUNDDOWN(Config!$B$11/ABS(H203-I203),0))</f>
        <v/>
      </c>
    </row>
    <row r="204" customFormat="false" ht="15" hidden="false" customHeight="false" outlineLevel="0" collapsed="false">
      <c r="L204" s="20" t="str">
        <f aca="false">IF(OR(H204="",I204="",J204=""),"",IF(H204=I204,"",ABS(J204-H204)/ABS(H204-I204)))</f>
        <v/>
      </c>
      <c r="M204" s="9" t="str">
        <f aca="false">IF(OR(H204="",I204="",H204=I204),"",ROUNDDOWN(Config!$B$11/ABS(H204-I204),0))</f>
        <v/>
      </c>
    </row>
    <row r="205" customFormat="false" ht="15" hidden="false" customHeight="false" outlineLevel="0" collapsed="false">
      <c r="L205" s="20" t="str">
        <f aca="false">IF(OR(H205="",I205="",J205=""),"",IF(H205=I205,"",ABS(J205-H205)/ABS(H205-I205)))</f>
        <v/>
      </c>
      <c r="M205" s="9" t="str">
        <f aca="false">IF(OR(H205="",I205="",H205=I205),"",ROUNDDOWN(Config!$B$11/ABS(H205-I205),0))</f>
        <v/>
      </c>
    </row>
    <row r="206" customFormat="false" ht="15" hidden="false" customHeight="false" outlineLevel="0" collapsed="false">
      <c r="L206" s="20" t="str">
        <f aca="false">IF(OR(H206="",I206="",J206=""),"",IF(H206=I206,"",ABS(J206-H206)/ABS(H206-I206)))</f>
        <v/>
      </c>
      <c r="M206" s="9" t="str">
        <f aca="false">IF(OR(H206="",I206="",H206=I206),"",ROUNDDOWN(Config!$B$11/ABS(H206-I206),0))</f>
        <v/>
      </c>
    </row>
    <row r="207" customFormat="false" ht="15" hidden="false" customHeight="false" outlineLevel="0" collapsed="false">
      <c r="L207" s="20" t="str">
        <f aca="false">IF(OR(H207="",I207="",J207=""),"",IF(H207=I207,"",ABS(J207-H207)/ABS(H207-I207)))</f>
        <v/>
      </c>
      <c r="M207" s="9" t="str">
        <f aca="false">IF(OR(H207="",I207="",H207=I207),"",ROUNDDOWN(Config!$B$11/ABS(H207-I207),0))</f>
        <v/>
      </c>
    </row>
    <row r="208" customFormat="false" ht="15" hidden="false" customHeight="false" outlineLevel="0" collapsed="false">
      <c r="L208" s="20" t="str">
        <f aca="false">IF(OR(H208="",I208="",J208=""),"",IF(H208=I208,"",ABS(J208-H208)/ABS(H208-I208)))</f>
        <v/>
      </c>
      <c r="M208" s="9" t="str">
        <f aca="false">IF(OR(H208="",I208="",H208=I208),"",ROUNDDOWN(Config!$B$11/ABS(H208-I208),0))</f>
        <v/>
      </c>
    </row>
    <row r="209" customFormat="false" ht="15" hidden="false" customHeight="false" outlineLevel="0" collapsed="false">
      <c r="L209" s="20" t="str">
        <f aca="false">IF(OR(H209="",I209="",J209=""),"",IF(H209=I209,"",ABS(J209-H209)/ABS(H209-I209)))</f>
        <v/>
      </c>
      <c r="M209" s="9" t="str">
        <f aca="false">IF(OR(H209="",I209="",H209=I209),"",ROUNDDOWN(Config!$B$11/ABS(H209-I209),0))</f>
        <v/>
      </c>
    </row>
    <row r="210" customFormat="false" ht="15" hidden="false" customHeight="false" outlineLevel="0" collapsed="false">
      <c r="L210" s="20" t="str">
        <f aca="false">IF(OR(H210="",I210="",J210=""),"",IF(H210=I210,"",ABS(J210-H210)/ABS(H210-I210)))</f>
        <v/>
      </c>
      <c r="M210" s="9" t="str">
        <f aca="false">IF(OR(H210="",I210="",H210=I210),"",ROUNDDOWN(Config!$B$11/ABS(H210-I210),0))</f>
        <v/>
      </c>
    </row>
    <row r="211" customFormat="false" ht="15" hidden="false" customHeight="false" outlineLevel="0" collapsed="false">
      <c r="L211" s="20" t="str">
        <f aca="false">IF(OR(H211="",I211="",J211=""),"",IF(H211=I211,"",ABS(J211-H211)/ABS(H211-I211)))</f>
        <v/>
      </c>
      <c r="M211" s="9" t="str">
        <f aca="false">IF(OR(H211="",I211="",H211=I211),"",ROUNDDOWN(Config!$B$11/ABS(H211-I211),0))</f>
        <v/>
      </c>
    </row>
    <row r="212" customFormat="false" ht="15" hidden="false" customHeight="false" outlineLevel="0" collapsed="false">
      <c r="L212" s="20" t="str">
        <f aca="false">IF(OR(H212="",I212="",J212=""),"",IF(H212=I212,"",ABS(J212-H212)/ABS(H212-I212)))</f>
        <v/>
      </c>
      <c r="M212" s="9" t="str">
        <f aca="false">IF(OR(H212="",I212="",H212=I212),"",ROUNDDOWN(Config!$B$11/ABS(H212-I212),0))</f>
        <v/>
      </c>
    </row>
    <row r="213" customFormat="false" ht="15" hidden="false" customHeight="false" outlineLevel="0" collapsed="false">
      <c r="L213" s="20" t="str">
        <f aca="false">IF(OR(H213="",I213="",J213=""),"",IF(H213=I213,"",ABS(J213-H213)/ABS(H213-I213)))</f>
        <v/>
      </c>
      <c r="M213" s="9" t="str">
        <f aca="false">IF(OR(H213="",I213="",H213=I213),"",ROUNDDOWN(Config!$B$11/ABS(H213-I213),0))</f>
        <v/>
      </c>
    </row>
    <row r="214" customFormat="false" ht="15" hidden="false" customHeight="false" outlineLevel="0" collapsed="false">
      <c r="L214" s="20" t="str">
        <f aca="false">IF(OR(H214="",I214="",J214=""),"",IF(H214=I214,"",ABS(J214-H214)/ABS(H214-I214)))</f>
        <v/>
      </c>
      <c r="M214" s="9" t="str">
        <f aca="false">IF(OR(H214="",I214="",H214=I214),"",ROUNDDOWN(Config!$B$11/ABS(H214-I214),0))</f>
        <v/>
      </c>
    </row>
    <row r="215" customFormat="false" ht="15" hidden="false" customHeight="false" outlineLevel="0" collapsed="false">
      <c r="L215" s="20" t="str">
        <f aca="false">IF(OR(H215="",I215="",J215=""),"",IF(H215=I215,"",ABS(J215-H215)/ABS(H215-I215)))</f>
        <v/>
      </c>
      <c r="M215" s="9" t="str">
        <f aca="false">IF(OR(H215="",I215="",H215=I215),"",ROUNDDOWN(Config!$B$11/ABS(H215-I215),0))</f>
        <v/>
      </c>
    </row>
    <row r="216" customFormat="false" ht="15" hidden="false" customHeight="false" outlineLevel="0" collapsed="false">
      <c r="L216" s="20" t="str">
        <f aca="false">IF(OR(H216="",I216="",J216=""),"",IF(H216=I216,"",ABS(J216-H216)/ABS(H216-I216)))</f>
        <v/>
      </c>
      <c r="M216" s="9" t="str">
        <f aca="false">IF(OR(H216="",I216="",H216=I216),"",ROUNDDOWN(Config!$B$11/ABS(H216-I216),0))</f>
        <v/>
      </c>
    </row>
    <row r="217" customFormat="false" ht="15" hidden="false" customHeight="false" outlineLevel="0" collapsed="false">
      <c r="L217" s="20" t="str">
        <f aca="false">IF(OR(H217="",I217="",J217=""),"",IF(H217=I217,"",ABS(J217-H217)/ABS(H217-I217)))</f>
        <v/>
      </c>
      <c r="M217" s="9" t="str">
        <f aca="false">IF(OR(H217="",I217="",H217=I217),"",ROUNDDOWN(Config!$B$11/ABS(H217-I217),0))</f>
        <v/>
      </c>
    </row>
    <row r="218" customFormat="false" ht="15" hidden="false" customHeight="false" outlineLevel="0" collapsed="false">
      <c r="L218" s="20" t="str">
        <f aca="false">IF(OR(H218="",I218="",J218=""),"",IF(H218=I218,"",ABS(J218-H218)/ABS(H218-I218)))</f>
        <v/>
      </c>
      <c r="M218" s="9" t="str">
        <f aca="false">IF(OR(H218="",I218="",H218=I218),"",ROUNDDOWN(Config!$B$11/ABS(H218-I218),0))</f>
        <v/>
      </c>
    </row>
    <row r="219" customFormat="false" ht="15" hidden="false" customHeight="false" outlineLevel="0" collapsed="false">
      <c r="L219" s="20" t="str">
        <f aca="false">IF(OR(H219="",I219="",J219=""),"",IF(H219=I219,"",ABS(J219-H219)/ABS(H219-I219)))</f>
        <v/>
      </c>
      <c r="M219" s="9" t="str">
        <f aca="false">IF(OR(H219="",I219="",H219=I219),"",ROUNDDOWN(Config!$B$11/ABS(H219-I219),0))</f>
        <v/>
      </c>
    </row>
    <row r="220" customFormat="false" ht="15" hidden="false" customHeight="false" outlineLevel="0" collapsed="false">
      <c r="L220" s="20" t="str">
        <f aca="false">IF(OR(H220="",I220="",J220=""),"",IF(H220=I220,"",ABS(J220-H220)/ABS(H220-I220)))</f>
        <v/>
      </c>
      <c r="M220" s="9" t="str">
        <f aca="false">IF(OR(H220="",I220="",H220=I220),"",ROUNDDOWN(Config!$B$11/ABS(H220-I220),0))</f>
        <v/>
      </c>
    </row>
    <row r="221" customFormat="false" ht="15" hidden="false" customHeight="false" outlineLevel="0" collapsed="false">
      <c r="L221" s="20" t="str">
        <f aca="false">IF(OR(H221="",I221="",J221=""),"",IF(H221=I221,"",ABS(J221-H221)/ABS(H221-I221)))</f>
        <v/>
      </c>
      <c r="M221" s="9" t="str">
        <f aca="false">IF(OR(H221="",I221="",H221=I221),"",ROUNDDOWN(Config!$B$11/ABS(H221-I221),0))</f>
        <v/>
      </c>
    </row>
    <row r="222" customFormat="false" ht="15" hidden="false" customHeight="false" outlineLevel="0" collapsed="false">
      <c r="L222" s="20" t="str">
        <f aca="false">IF(OR(H222="",I222="",J222=""),"",IF(H222=I222,"",ABS(J222-H222)/ABS(H222-I222)))</f>
        <v/>
      </c>
      <c r="M222" s="9" t="str">
        <f aca="false">IF(OR(H222="",I222="",H222=I222),"",ROUNDDOWN(Config!$B$11/ABS(H222-I222),0))</f>
        <v/>
      </c>
    </row>
    <row r="223" customFormat="false" ht="15" hidden="false" customHeight="false" outlineLevel="0" collapsed="false">
      <c r="L223" s="20" t="str">
        <f aca="false">IF(OR(H223="",I223="",J223=""),"",IF(H223=I223,"",ABS(J223-H223)/ABS(H223-I223)))</f>
        <v/>
      </c>
      <c r="M223" s="9" t="str">
        <f aca="false">IF(OR(H223="",I223="",H223=I223),"",ROUNDDOWN(Config!$B$11/ABS(H223-I223),0))</f>
        <v/>
      </c>
    </row>
    <row r="224" customFormat="false" ht="15" hidden="false" customHeight="false" outlineLevel="0" collapsed="false">
      <c r="L224" s="20" t="str">
        <f aca="false">IF(OR(H224="",I224="",J224=""),"",IF(H224=I224,"",ABS(J224-H224)/ABS(H224-I224)))</f>
        <v/>
      </c>
      <c r="M224" s="9" t="str">
        <f aca="false">IF(OR(H224="",I224="",H224=I224),"",ROUNDDOWN(Config!$B$11/ABS(H224-I224),0))</f>
        <v/>
      </c>
    </row>
    <row r="225" customFormat="false" ht="15" hidden="false" customHeight="false" outlineLevel="0" collapsed="false">
      <c r="L225" s="20" t="str">
        <f aca="false">IF(OR(H225="",I225="",J225=""),"",IF(H225=I225,"",ABS(J225-H225)/ABS(H225-I225)))</f>
        <v/>
      </c>
      <c r="M225" s="9" t="str">
        <f aca="false">IF(OR(H225="",I225="",H225=I225),"",ROUNDDOWN(Config!$B$11/ABS(H225-I225),0))</f>
        <v/>
      </c>
    </row>
    <row r="226" customFormat="false" ht="15" hidden="false" customHeight="false" outlineLevel="0" collapsed="false">
      <c r="L226" s="20" t="str">
        <f aca="false">IF(OR(H226="",I226="",J226=""),"",IF(H226=I226,"",ABS(J226-H226)/ABS(H226-I226)))</f>
        <v/>
      </c>
      <c r="M226" s="9" t="str">
        <f aca="false">IF(OR(H226="",I226="",H226=I226),"",ROUNDDOWN(Config!$B$11/ABS(H226-I226),0))</f>
        <v/>
      </c>
    </row>
    <row r="227" customFormat="false" ht="15" hidden="false" customHeight="false" outlineLevel="0" collapsed="false">
      <c r="L227" s="20" t="str">
        <f aca="false">IF(OR(H227="",I227="",J227=""),"",IF(H227=I227,"",ABS(J227-H227)/ABS(H227-I227)))</f>
        <v/>
      </c>
      <c r="M227" s="9" t="str">
        <f aca="false">IF(OR(H227="",I227="",H227=I227),"",ROUNDDOWN(Config!$B$11/ABS(H227-I227),0))</f>
        <v/>
      </c>
    </row>
    <row r="228" customFormat="false" ht="15" hidden="false" customHeight="false" outlineLevel="0" collapsed="false">
      <c r="L228" s="20" t="str">
        <f aca="false">IF(OR(H228="",I228="",J228=""),"",IF(H228=I228,"",ABS(J228-H228)/ABS(H228-I228)))</f>
        <v/>
      </c>
      <c r="M228" s="9" t="str">
        <f aca="false">IF(OR(H228="",I228="",H228=I228),"",ROUNDDOWN(Config!$B$11/ABS(H228-I228),0))</f>
        <v/>
      </c>
    </row>
    <row r="229" customFormat="false" ht="15" hidden="false" customHeight="false" outlineLevel="0" collapsed="false">
      <c r="L229" s="20" t="str">
        <f aca="false">IF(OR(H229="",I229="",J229=""),"",IF(H229=I229,"",ABS(J229-H229)/ABS(H229-I229)))</f>
        <v/>
      </c>
      <c r="M229" s="9" t="str">
        <f aca="false">IF(OR(H229="",I229="",H229=I229),"",ROUNDDOWN(Config!$B$11/ABS(H229-I229),0))</f>
        <v/>
      </c>
    </row>
    <row r="230" customFormat="false" ht="15" hidden="false" customHeight="false" outlineLevel="0" collapsed="false">
      <c r="L230" s="20" t="str">
        <f aca="false">IF(OR(H230="",I230="",J230=""),"",IF(H230=I230,"",ABS(J230-H230)/ABS(H230-I230)))</f>
        <v/>
      </c>
      <c r="M230" s="9" t="str">
        <f aca="false">IF(OR(H230="",I230="",H230=I230),"",ROUNDDOWN(Config!$B$11/ABS(H230-I230),0))</f>
        <v/>
      </c>
    </row>
    <row r="231" customFormat="false" ht="15" hidden="false" customHeight="false" outlineLevel="0" collapsed="false">
      <c r="L231" s="20" t="str">
        <f aca="false">IF(OR(H231="",I231="",J231=""),"",IF(H231=I231,"",ABS(J231-H231)/ABS(H231-I231)))</f>
        <v/>
      </c>
      <c r="M231" s="9" t="str">
        <f aca="false">IF(OR(H231="",I231="",H231=I231),"",ROUNDDOWN(Config!$B$11/ABS(H231-I231),0))</f>
        <v/>
      </c>
    </row>
    <row r="232" customFormat="false" ht="15" hidden="false" customHeight="false" outlineLevel="0" collapsed="false">
      <c r="L232" s="20" t="str">
        <f aca="false">IF(OR(H232="",I232="",J232=""),"",IF(H232=I232,"",ABS(J232-H232)/ABS(H232-I232)))</f>
        <v/>
      </c>
      <c r="M232" s="9" t="str">
        <f aca="false">IF(OR(H232="",I232="",H232=I232),"",ROUNDDOWN(Config!$B$11/ABS(H232-I232),0))</f>
        <v/>
      </c>
    </row>
    <row r="233" customFormat="false" ht="15" hidden="false" customHeight="false" outlineLevel="0" collapsed="false">
      <c r="L233" s="20" t="str">
        <f aca="false">IF(OR(H233="",I233="",J233=""),"",IF(H233=I233,"",ABS(J233-H233)/ABS(H233-I233)))</f>
        <v/>
      </c>
      <c r="M233" s="9" t="str">
        <f aca="false">IF(OR(H233="",I233="",H233=I233),"",ROUNDDOWN(Config!$B$11/ABS(H233-I233),0))</f>
        <v/>
      </c>
    </row>
    <row r="234" customFormat="false" ht="15" hidden="false" customHeight="false" outlineLevel="0" collapsed="false">
      <c r="L234" s="20" t="str">
        <f aca="false">IF(OR(H234="",I234="",J234=""),"",IF(H234=I234,"",ABS(J234-H234)/ABS(H234-I234)))</f>
        <v/>
      </c>
      <c r="M234" s="9" t="str">
        <f aca="false">IF(OR(H234="",I234="",H234=I234),"",ROUNDDOWN(Config!$B$11/ABS(H234-I234),0))</f>
        <v/>
      </c>
    </row>
    <row r="235" customFormat="false" ht="15" hidden="false" customHeight="false" outlineLevel="0" collapsed="false">
      <c r="L235" s="20" t="str">
        <f aca="false">IF(OR(H235="",I235="",J235=""),"",IF(H235=I235,"",ABS(J235-H235)/ABS(H235-I235)))</f>
        <v/>
      </c>
      <c r="M235" s="9" t="str">
        <f aca="false">IF(OR(H235="",I235="",H235=I235),"",ROUNDDOWN(Config!$B$11/ABS(H235-I235),0))</f>
        <v/>
      </c>
    </row>
    <row r="236" customFormat="false" ht="15" hidden="false" customHeight="false" outlineLevel="0" collapsed="false">
      <c r="L236" s="20" t="str">
        <f aca="false">IF(OR(H236="",I236="",J236=""),"",IF(H236=I236,"",ABS(J236-H236)/ABS(H236-I236)))</f>
        <v/>
      </c>
      <c r="M236" s="9" t="str">
        <f aca="false">IF(OR(H236="",I236="",H236=I236),"",ROUNDDOWN(Config!$B$11/ABS(H236-I236),0))</f>
        <v/>
      </c>
    </row>
    <row r="237" customFormat="false" ht="15" hidden="false" customHeight="false" outlineLevel="0" collapsed="false">
      <c r="L237" s="20" t="str">
        <f aca="false">IF(OR(H237="",I237="",J237=""),"",IF(H237=I237,"",ABS(J237-H237)/ABS(H237-I237)))</f>
        <v/>
      </c>
      <c r="M237" s="9" t="str">
        <f aca="false">IF(OR(H237="",I237="",H237=I237),"",ROUNDDOWN(Config!$B$11/ABS(H237-I237),0))</f>
        <v/>
      </c>
    </row>
    <row r="238" customFormat="false" ht="15" hidden="false" customHeight="false" outlineLevel="0" collapsed="false">
      <c r="L238" s="20" t="str">
        <f aca="false">IF(OR(H238="",I238="",J238=""),"",IF(H238=I238,"",ABS(J238-H238)/ABS(H238-I238)))</f>
        <v/>
      </c>
      <c r="M238" s="9" t="str">
        <f aca="false">IF(OR(H238="",I238="",H238=I238),"",ROUNDDOWN(Config!$B$11/ABS(H238-I238),0))</f>
        <v/>
      </c>
    </row>
    <row r="239" customFormat="false" ht="15" hidden="false" customHeight="false" outlineLevel="0" collapsed="false">
      <c r="L239" s="20" t="str">
        <f aca="false">IF(OR(H239="",I239="",J239=""),"",IF(H239=I239,"",ABS(J239-H239)/ABS(H239-I239)))</f>
        <v/>
      </c>
      <c r="M239" s="9" t="str">
        <f aca="false">IF(OR(H239="",I239="",H239=I239),"",ROUNDDOWN(Config!$B$11/ABS(H239-I239),0))</f>
        <v/>
      </c>
    </row>
    <row r="240" customFormat="false" ht="15" hidden="false" customHeight="false" outlineLevel="0" collapsed="false">
      <c r="L240" s="20" t="str">
        <f aca="false">IF(OR(H240="",I240="",J240=""),"",IF(H240=I240,"",ABS(J240-H240)/ABS(H240-I240)))</f>
        <v/>
      </c>
      <c r="M240" s="9" t="str">
        <f aca="false">IF(OR(H240="",I240="",H240=I240),"",ROUNDDOWN(Config!$B$11/ABS(H240-I240),0))</f>
        <v/>
      </c>
    </row>
    <row r="241" customFormat="false" ht="15" hidden="false" customHeight="false" outlineLevel="0" collapsed="false">
      <c r="L241" s="20" t="str">
        <f aca="false">IF(OR(H241="",I241="",J241=""),"",IF(H241=I241,"",ABS(J241-H241)/ABS(H241-I241)))</f>
        <v/>
      </c>
      <c r="M241" s="9" t="str">
        <f aca="false">IF(OR(H241="",I241="",H241=I241),"",ROUNDDOWN(Config!$B$11/ABS(H241-I241),0))</f>
        <v/>
      </c>
    </row>
    <row r="242" customFormat="false" ht="15" hidden="false" customHeight="false" outlineLevel="0" collapsed="false">
      <c r="L242" s="20" t="str">
        <f aca="false">IF(OR(H242="",I242="",J242=""),"",IF(H242=I242,"",ABS(J242-H242)/ABS(H242-I242)))</f>
        <v/>
      </c>
      <c r="M242" s="9" t="str">
        <f aca="false">IF(OR(H242="",I242="",H242=I242),"",ROUNDDOWN(Config!$B$11/ABS(H242-I242),0))</f>
        <v/>
      </c>
    </row>
    <row r="243" customFormat="false" ht="15" hidden="false" customHeight="false" outlineLevel="0" collapsed="false">
      <c r="L243" s="20" t="str">
        <f aca="false">IF(OR(H243="",I243="",J243=""),"",IF(H243=I243,"",ABS(J243-H243)/ABS(H243-I243)))</f>
        <v/>
      </c>
      <c r="M243" s="9" t="str">
        <f aca="false">IF(OR(H243="",I243="",H243=I243),"",ROUNDDOWN(Config!$B$11/ABS(H243-I243),0))</f>
        <v/>
      </c>
    </row>
    <row r="244" customFormat="false" ht="15" hidden="false" customHeight="false" outlineLevel="0" collapsed="false">
      <c r="L244" s="20" t="str">
        <f aca="false">IF(OR(H244="",I244="",J244=""),"",IF(H244=I244,"",ABS(J244-H244)/ABS(H244-I244)))</f>
        <v/>
      </c>
      <c r="M244" s="9" t="str">
        <f aca="false">IF(OR(H244="",I244="",H244=I244),"",ROUNDDOWN(Config!$B$11/ABS(H244-I244),0))</f>
        <v/>
      </c>
    </row>
    <row r="245" customFormat="false" ht="15" hidden="false" customHeight="false" outlineLevel="0" collapsed="false">
      <c r="L245" s="20" t="str">
        <f aca="false">IF(OR(H245="",I245="",J245=""),"",IF(H245=I245,"",ABS(J245-H245)/ABS(H245-I245)))</f>
        <v/>
      </c>
      <c r="M245" s="9" t="str">
        <f aca="false">IF(OR(H245="",I245="",H245=I245),"",ROUNDDOWN(Config!$B$11/ABS(H245-I245),0))</f>
        <v/>
      </c>
    </row>
    <row r="246" customFormat="false" ht="15" hidden="false" customHeight="false" outlineLevel="0" collapsed="false">
      <c r="L246" s="20" t="str">
        <f aca="false">IF(OR(H246="",I246="",J246=""),"",IF(H246=I246,"",ABS(J246-H246)/ABS(H246-I246)))</f>
        <v/>
      </c>
      <c r="M246" s="9" t="str">
        <f aca="false">IF(OR(H246="",I246="",H246=I246),"",ROUNDDOWN(Config!$B$11/ABS(H246-I246),0))</f>
        <v/>
      </c>
    </row>
    <row r="247" customFormat="false" ht="15" hidden="false" customHeight="false" outlineLevel="0" collapsed="false">
      <c r="L247" s="20" t="str">
        <f aca="false">IF(OR(H247="",I247="",J247=""),"",IF(H247=I247,"",ABS(J247-H247)/ABS(H247-I247)))</f>
        <v/>
      </c>
      <c r="M247" s="9" t="str">
        <f aca="false">IF(OR(H247="",I247="",H247=I247),"",ROUNDDOWN(Config!$B$11/ABS(H247-I247),0))</f>
        <v/>
      </c>
    </row>
    <row r="248" customFormat="false" ht="15" hidden="false" customHeight="false" outlineLevel="0" collapsed="false">
      <c r="L248" s="20" t="str">
        <f aca="false">IF(OR(H248="",I248="",J248=""),"",IF(H248=I248,"",ABS(J248-H248)/ABS(H248-I248)))</f>
        <v/>
      </c>
      <c r="M248" s="9" t="str">
        <f aca="false">IF(OR(H248="",I248="",H248=I248),"",ROUNDDOWN(Config!$B$11/ABS(H248-I248),0))</f>
        <v/>
      </c>
    </row>
    <row r="249" customFormat="false" ht="15" hidden="false" customHeight="false" outlineLevel="0" collapsed="false">
      <c r="L249" s="20" t="str">
        <f aca="false">IF(OR(H249="",I249="",J249=""),"",IF(H249=I249,"",ABS(J249-H249)/ABS(H249-I249)))</f>
        <v/>
      </c>
      <c r="M249" s="9" t="str">
        <f aca="false">IF(OR(H249="",I249="",H249=I249),"",ROUNDDOWN(Config!$B$11/ABS(H249-I249),0))</f>
        <v/>
      </c>
    </row>
    <row r="250" customFormat="false" ht="15" hidden="false" customHeight="false" outlineLevel="0" collapsed="false">
      <c r="L250" s="20" t="str">
        <f aca="false">IF(OR(H250="",I250="",J250=""),"",IF(H250=I250,"",ABS(J250-H250)/ABS(H250-I250)))</f>
        <v/>
      </c>
      <c r="M250" s="9" t="str">
        <f aca="false">IF(OR(H250="",I250="",H250=I250),"",ROUNDDOWN(Config!$B$11/ABS(H250-I250),0))</f>
        <v/>
      </c>
    </row>
    <row r="251" customFormat="false" ht="15" hidden="false" customHeight="false" outlineLevel="0" collapsed="false">
      <c r="L251" s="20" t="str">
        <f aca="false">IF(OR(H251="",I251="",J251=""),"",IF(H251=I251,"",ABS(J251-H251)/ABS(H251-I251)))</f>
        <v/>
      </c>
      <c r="M251" s="9" t="str">
        <f aca="false">IF(OR(H251="",I251="",H251=I251),"",ROUNDDOWN(Config!$B$11/ABS(H251-I251),0))</f>
        <v/>
      </c>
    </row>
    <row r="252" customFormat="false" ht="15" hidden="false" customHeight="false" outlineLevel="0" collapsed="false">
      <c r="L252" s="20" t="str">
        <f aca="false">IF(OR(H252="",I252="",J252=""),"",IF(H252=I252,"",ABS(J252-H252)/ABS(H252-I252)))</f>
        <v/>
      </c>
      <c r="M252" s="9" t="str">
        <f aca="false">IF(OR(H252="",I252="",H252=I252),"",ROUNDDOWN(Config!$B$11/ABS(H252-I252),0))</f>
        <v/>
      </c>
    </row>
    <row r="253" customFormat="false" ht="15" hidden="false" customHeight="false" outlineLevel="0" collapsed="false">
      <c r="L253" s="20" t="str">
        <f aca="false">IF(OR(H253="",I253="",J253=""),"",IF(H253=I253,"",ABS(J253-H253)/ABS(H253-I253)))</f>
        <v/>
      </c>
      <c r="M253" s="9" t="str">
        <f aca="false">IF(OR(H253="",I253="",H253=I253),"",ROUNDDOWN(Config!$B$11/ABS(H253-I253),0))</f>
        <v/>
      </c>
    </row>
    <row r="254" customFormat="false" ht="15" hidden="false" customHeight="false" outlineLevel="0" collapsed="false">
      <c r="L254" s="20" t="str">
        <f aca="false">IF(OR(H254="",I254="",J254=""),"",IF(H254=I254,"",ABS(J254-H254)/ABS(H254-I254)))</f>
        <v/>
      </c>
      <c r="M254" s="9" t="str">
        <f aca="false">IF(OR(H254="",I254="",H254=I254),"",ROUNDDOWN(Config!$B$11/ABS(H254-I254),0))</f>
        <v/>
      </c>
    </row>
    <row r="255" customFormat="false" ht="15" hidden="false" customHeight="false" outlineLevel="0" collapsed="false">
      <c r="L255" s="20" t="str">
        <f aca="false">IF(OR(H255="",I255="",J255=""),"",IF(H255=I255,"",ABS(J255-H255)/ABS(H255-I255)))</f>
        <v/>
      </c>
      <c r="M255" s="9" t="str">
        <f aca="false">IF(OR(H255="",I255="",H255=I255),"",ROUNDDOWN(Config!$B$11/ABS(H255-I255),0))</f>
        <v/>
      </c>
    </row>
    <row r="256" customFormat="false" ht="15" hidden="false" customHeight="false" outlineLevel="0" collapsed="false">
      <c r="L256" s="20" t="str">
        <f aca="false">IF(OR(H256="",I256="",J256=""),"",IF(H256=I256,"",ABS(J256-H256)/ABS(H256-I256)))</f>
        <v/>
      </c>
      <c r="M256" s="9" t="str">
        <f aca="false">IF(OR(H256="",I256="",H256=I256),"",ROUNDDOWN(Config!$B$11/ABS(H256-I256),0))</f>
        <v/>
      </c>
    </row>
    <row r="257" customFormat="false" ht="15" hidden="false" customHeight="false" outlineLevel="0" collapsed="false">
      <c r="L257" s="20" t="str">
        <f aca="false">IF(OR(H257="",I257="",J257=""),"",IF(H257=I257,"",ABS(J257-H257)/ABS(H257-I257)))</f>
        <v/>
      </c>
      <c r="M257" s="9" t="str">
        <f aca="false">IF(OR(H257="",I257="",H257=I257),"",ROUNDDOWN(Config!$B$11/ABS(H257-I257),0))</f>
        <v/>
      </c>
    </row>
    <row r="258" customFormat="false" ht="15" hidden="false" customHeight="false" outlineLevel="0" collapsed="false">
      <c r="L258" s="20" t="str">
        <f aca="false">IF(OR(H258="",I258="",J258=""),"",IF(H258=I258,"",ABS(J258-H258)/ABS(H258-I258)))</f>
        <v/>
      </c>
      <c r="M258" s="9" t="str">
        <f aca="false">IF(OR(H258="",I258="",H258=I258),"",ROUNDDOWN(Config!$B$11/ABS(H258-I258),0))</f>
        <v/>
      </c>
    </row>
    <row r="259" customFormat="false" ht="15" hidden="false" customHeight="false" outlineLevel="0" collapsed="false">
      <c r="L259" s="20" t="str">
        <f aca="false">IF(OR(H259="",I259="",J259=""),"",IF(H259=I259,"",ABS(J259-H259)/ABS(H259-I259)))</f>
        <v/>
      </c>
      <c r="M259" s="9" t="str">
        <f aca="false">IF(OR(H259="",I259="",H259=I259),"",ROUNDDOWN(Config!$B$11/ABS(H259-I259),0))</f>
        <v/>
      </c>
    </row>
    <row r="260" customFormat="false" ht="15" hidden="false" customHeight="false" outlineLevel="0" collapsed="false">
      <c r="L260" s="20" t="str">
        <f aca="false">IF(OR(H260="",I260="",J260=""),"",IF(H260=I260,"",ABS(J260-H260)/ABS(H260-I260)))</f>
        <v/>
      </c>
      <c r="M260" s="9" t="str">
        <f aca="false">IF(OR(H260="",I260="",H260=I260),"",ROUNDDOWN(Config!$B$11/ABS(H260-I260),0))</f>
        <v/>
      </c>
    </row>
    <row r="261" customFormat="false" ht="15" hidden="false" customHeight="false" outlineLevel="0" collapsed="false">
      <c r="L261" s="20" t="str">
        <f aca="false">IF(OR(H261="",I261="",J261=""),"",IF(H261=I261,"",ABS(J261-H261)/ABS(H261-I261)))</f>
        <v/>
      </c>
      <c r="M261" s="9" t="str">
        <f aca="false">IF(OR(H261="",I261="",H261=I261),"",ROUNDDOWN(Config!$B$11/ABS(H261-I261),0))</f>
        <v/>
      </c>
    </row>
    <row r="262" customFormat="false" ht="15" hidden="false" customHeight="false" outlineLevel="0" collapsed="false">
      <c r="L262" s="20" t="str">
        <f aca="false">IF(OR(H262="",I262="",J262=""),"",IF(H262=I262,"",ABS(J262-H262)/ABS(H262-I262)))</f>
        <v/>
      </c>
      <c r="M262" s="9" t="str">
        <f aca="false">IF(OR(H262="",I262="",H262=I262),"",ROUNDDOWN(Config!$B$11/ABS(H262-I262),0))</f>
        <v/>
      </c>
    </row>
    <row r="263" customFormat="false" ht="15" hidden="false" customHeight="false" outlineLevel="0" collapsed="false">
      <c r="L263" s="20" t="str">
        <f aca="false">IF(OR(H263="",I263="",J263=""),"",IF(H263=I263,"",ABS(J263-H263)/ABS(H263-I263)))</f>
        <v/>
      </c>
      <c r="M263" s="9" t="str">
        <f aca="false">IF(OR(H263="",I263="",H263=I263),"",ROUNDDOWN(Config!$B$11/ABS(H263-I263),0))</f>
        <v/>
      </c>
    </row>
    <row r="264" customFormat="false" ht="15" hidden="false" customHeight="false" outlineLevel="0" collapsed="false">
      <c r="L264" s="20" t="str">
        <f aca="false">IF(OR(H264="",I264="",J264=""),"",IF(H264=I264,"",ABS(J264-H264)/ABS(H264-I264)))</f>
        <v/>
      </c>
      <c r="M264" s="9" t="str">
        <f aca="false">IF(OR(H264="",I264="",H264=I264),"",ROUNDDOWN(Config!$B$11/ABS(H264-I264),0))</f>
        <v/>
      </c>
    </row>
    <row r="265" customFormat="false" ht="15" hidden="false" customHeight="false" outlineLevel="0" collapsed="false">
      <c r="L265" s="20" t="str">
        <f aca="false">IF(OR(H265="",I265="",J265=""),"",IF(H265=I265,"",ABS(J265-H265)/ABS(H265-I265)))</f>
        <v/>
      </c>
      <c r="M265" s="9" t="str">
        <f aca="false">IF(OR(H265="",I265="",H265=I265),"",ROUNDDOWN(Config!$B$11/ABS(H265-I265),0))</f>
        <v/>
      </c>
    </row>
    <row r="266" customFormat="false" ht="15" hidden="false" customHeight="false" outlineLevel="0" collapsed="false">
      <c r="L266" s="20" t="str">
        <f aca="false">IF(OR(H266="",I266="",J266=""),"",IF(H266=I266,"",ABS(J266-H266)/ABS(H266-I266)))</f>
        <v/>
      </c>
      <c r="M266" s="9" t="str">
        <f aca="false">IF(OR(H266="",I266="",H266=I266),"",ROUNDDOWN(Config!$B$11/ABS(H266-I266),0))</f>
        <v/>
      </c>
    </row>
    <row r="267" customFormat="false" ht="15" hidden="false" customHeight="false" outlineLevel="0" collapsed="false">
      <c r="L267" s="20" t="str">
        <f aca="false">IF(OR(H267="",I267="",J267=""),"",IF(H267=I267,"",ABS(J267-H267)/ABS(H267-I267)))</f>
        <v/>
      </c>
      <c r="M267" s="9" t="str">
        <f aca="false">IF(OR(H267="",I267="",H267=I267),"",ROUNDDOWN(Config!$B$11/ABS(H267-I267),0))</f>
        <v/>
      </c>
    </row>
    <row r="268" customFormat="false" ht="15" hidden="false" customHeight="false" outlineLevel="0" collapsed="false">
      <c r="L268" s="20" t="str">
        <f aca="false">IF(OR(H268="",I268="",J268=""),"",IF(H268=I268,"",ABS(J268-H268)/ABS(H268-I268)))</f>
        <v/>
      </c>
      <c r="M268" s="9" t="str">
        <f aca="false">IF(OR(H268="",I268="",H268=I268),"",ROUNDDOWN(Config!$B$11/ABS(H268-I268),0))</f>
        <v/>
      </c>
    </row>
    <row r="269" customFormat="false" ht="15" hidden="false" customHeight="false" outlineLevel="0" collapsed="false">
      <c r="L269" s="20" t="str">
        <f aca="false">IF(OR(H269="",I269="",J269=""),"",IF(H269=I269,"",ABS(J269-H269)/ABS(H269-I269)))</f>
        <v/>
      </c>
      <c r="M269" s="9" t="str">
        <f aca="false">IF(OR(H269="",I269="",H269=I269),"",ROUNDDOWN(Config!$B$11/ABS(H269-I269),0))</f>
        <v/>
      </c>
    </row>
    <row r="270" customFormat="false" ht="15" hidden="false" customHeight="false" outlineLevel="0" collapsed="false">
      <c r="L270" s="20" t="str">
        <f aca="false">IF(OR(H270="",I270="",J270=""),"",IF(H270=I270,"",ABS(J270-H270)/ABS(H270-I270)))</f>
        <v/>
      </c>
      <c r="M270" s="9" t="str">
        <f aca="false">IF(OR(H270="",I270="",H270=I270),"",ROUNDDOWN(Config!$B$11/ABS(H270-I270),0))</f>
        <v/>
      </c>
    </row>
    <row r="271" customFormat="false" ht="15" hidden="false" customHeight="false" outlineLevel="0" collapsed="false">
      <c r="L271" s="20" t="str">
        <f aca="false">IF(OR(H271="",I271="",J271=""),"",IF(H271=I271,"",ABS(J271-H271)/ABS(H271-I271)))</f>
        <v/>
      </c>
      <c r="M271" s="9" t="str">
        <f aca="false">IF(OR(H271="",I271="",H271=I271),"",ROUNDDOWN(Config!$B$11/ABS(H271-I271),0))</f>
        <v/>
      </c>
    </row>
    <row r="272" customFormat="false" ht="15" hidden="false" customHeight="false" outlineLevel="0" collapsed="false">
      <c r="L272" s="20" t="str">
        <f aca="false">IF(OR(H272="",I272="",J272=""),"",IF(H272=I272,"",ABS(J272-H272)/ABS(H272-I272)))</f>
        <v/>
      </c>
      <c r="M272" s="9" t="str">
        <f aca="false">IF(OR(H272="",I272="",H272=I272),"",ROUNDDOWN(Config!$B$11/ABS(H272-I272),0))</f>
        <v/>
      </c>
    </row>
    <row r="273" customFormat="false" ht="15" hidden="false" customHeight="false" outlineLevel="0" collapsed="false">
      <c r="L273" s="20" t="str">
        <f aca="false">IF(OR(H273="",I273="",J273=""),"",IF(H273=I273,"",ABS(J273-H273)/ABS(H273-I273)))</f>
        <v/>
      </c>
      <c r="M273" s="9" t="str">
        <f aca="false">IF(OR(H273="",I273="",H273=I273),"",ROUNDDOWN(Config!$B$11/ABS(H273-I273),0))</f>
        <v/>
      </c>
    </row>
    <row r="274" customFormat="false" ht="15" hidden="false" customHeight="false" outlineLevel="0" collapsed="false">
      <c r="L274" s="20" t="str">
        <f aca="false">IF(OR(H274="",I274="",J274=""),"",IF(H274=I274,"",ABS(J274-H274)/ABS(H274-I274)))</f>
        <v/>
      </c>
      <c r="M274" s="9" t="str">
        <f aca="false">IF(OR(H274="",I274="",H274=I274),"",ROUNDDOWN(Config!$B$11/ABS(H274-I274),0))</f>
        <v/>
      </c>
    </row>
    <row r="275" customFormat="false" ht="15" hidden="false" customHeight="false" outlineLevel="0" collapsed="false">
      <c r="L275" s="20" t="str">
        <f aca="false">IF(OR(H275="",I275="",J275=""),"",IF(H275=I275,"",ABS(J275-H275)/ABS(H275-I275)))</f>
        <v/>
      </c>
      <c r="M275" s="9" t="str">
        <f aca="false">IF(OR(H275="",I275="",H275=I275),"",ROUNDDOWN(Config!$B$11/ABS(H275-I275),0))</f>
        <v/>
      </c>
    </row>
    <row r="276" customFormat="false" ht="15" hidden="false" customHeight="false" outlineLevel="0" collapsed="false">
      <c r="L276" s="20" t="str">
        <f aca="false">IF(OR(H276="",I276="",J276=""),"",IF(H276=I276,"",ABS(J276-H276)/ABS(H276-I276)))</f>
        <v/>
      </c>
      <c r="M276" s="9" t="str">
        <f aca="false">IF(OR(H276="",I276="",H276=I276),"",ROUNDDOWN(Config!$B$11/ABS(H276-I276),0))</f>
        <v/>
      </c>
    </row>
    <row r="277" customFormat="false" ht="15" hidden="false" customHeight="false" outlineLevel="0" collapsed="false">
      <c r="L277" s="20" t="str">
        <f aca="false">IF(OR(H277="",I277="",J277=""),"",IF(H277=I277,"",ABS(J277-H277)/ABS(H277-I277)))</f>
        <v/>
      </c>
      <c r="M277" s="9" t="str">
        <f aca="false">IF(OR(H277="",I277="",H277=I277),"",ROUNDDOWN(Config!$B$11/ABS(H277-I277),0))</f>
        <v/>
      </c>
    </row>
    <row r="278" customFormat="false" ht="15" hidden="false" customHeight="false" outlineLevel="0" collapsed="false">
      <c r="L278" s="20" t="str">
        <f aca="false">IF(OR(H278="",I278="",J278=""),"",IF(H278=I278,"",ABS(J278-H278)/ABS(H278-I278)))</f>
        <v/>
      </c>
      <c r="M278" s="9" t="str">
        <f aca="false">IF(OR(H278="",I278="",H278=I278),"",ROUNDDOWN(Config!$B$11/ABS(H278-I278),0))</f>
        <v/>
      </c>
    </row>
    <row r="279" customFormat="false" ht="15" hidden="false" customHeight="false" outlineLevel="0" collapsed="false">
      <c r="L279" s="20" t="str">
        <f aca="false">IF(OR(H279="",I279="",J279=""),"",IF(H279=I279,"",ABS(J279-H279)/ABS(H279-I279)))</f>
        <v/>
      </c>
      <c r="M279" s="9" t="str">
        <f aca="false">IF(OR(H279="",I279="",H279=I279),"",ROUNDDOWN(Config!$B$11/ABS(H279-I279),0))</f>
        <v/>
      </c>
    </row>
    <row r="280" customFormat="false" ht="15" hidden="false" customHeight="false" outlineLevel="0" collapsed="false">
      <c r="L280" s="20" t="str">
        <f aca="false">IF(OR(H280="",I280="",J280=""),"",IF(H280=I280,"",ABS(J280-H280)/ABS(H280-I280)))</f>
        <v/>
      </c>
      <c r="M280" s="9" t="str">
        <f aca="false">IF(OR(H280="",I280="",H280=I280),"",ROUNDDOWN(Config!$B$11/ABS(H280-I280),0))</f>
        <v/>
      </c>
    </row>
    <row r="281" customFormat="false" ht="15" hidden="false" customHeight="false" outlineLevel="0" collapsed="false">
      <c r="L281" s="20" t="str">
        <f aca="false">IF(OR(H281="",I281="",J281=""),"",IF(H281=I281,"",ABS(J281-H281)/ABS(H281-I281)))</f>
        <v/>
      </c>
      <c r="M281" s="9" t="str">
        <f aca="false">IF(OR(H281="",I281="",H281=I281),"",ROUNDDOWN(Config!$B$11/ABS(H281-I281),0))</f>
        <v/>
      </c>
    </row>
    <row r="282" customFormat="false" ht="15" hidden="false" customHeight="false" outlineLevel="0" collapsed="false">
      <c r="L282" s="20" t="str">
        <f aca="false">IF(OR(H282="",I282="",J282=""),"",IF(H282=I282,"",ABS(J282-H282)/ABS(H282-I282)))</f>
        <v/>
      </c>
      <c r="M282" s="9" t="str">
        <f aca="false">IF(OR(H282="",I282="",H282=I282),"",ROUNDDOWN(Config!$B$11/ABS(H282-I282),0))</f>
        <v/>
      </c>
    </row>
    <row r="283" customFormat="false" ht="15" hidden="false" customHeight="false" outlineLevel="0" collapsed="false">
      <c r="L283" s="20" t="str">
        <f aca="false">IF(OR(H283="",I283="",J283=""),"",IF(H283=I283,"",ABS(J283-H283)/ABS(H283-I283)))</f>
        <v/>
      </c>
      <c r="M283" s="9" t="str">
        <f aca="false">IF(OR(H283="",I283="",H283=I283),"",ROUNDDOWN(Config!$B$11/ABS(H283-I283),0))</f>
        <v/>
      </c>
    </row>
    <row r="284" customFormat="false" ht="15" hidden="false" customHeight="false" outlineLevel="0" collapsed="false">
      <c r="L284" s="20" t="str">
        <f aca="false">IF(OR(H284="",I284="",J284=""),"",IF(H284=I284,"",ABS(J284-H284)/ABS(H284-I284)))</f>
        <v/>
      </c>
      <c r="M284" s="9" t="str">
        <f aca="false">IF(OR(H284="",I284="",H284=I284),"",ROUNDDOWN(Config!$B$11/ABS(H284-I284),0))</f>
        <v/>
      </c>
    </row>
    <row r="285" customFormat="false" ht="15" hidden="false" customHeight="false" outlineLevel="0" collapsed="false">
      <c r="L285" s="20" t="str">
        <f aca="false">IF(OR(H285="",I285="",J285=""),"",IF(H285=I285,"",ABS(J285-H285)/ABS(H285-I285)))</f>
        <v/>
      </c>
      <c r="M285" s="9" t="str">
        <f aca="false">IF(OR(H285="",I285="",H285=I285),"",ROUNDDOWN(Config!$B$11/ABS(H285-I285),0))</f>
        <v/>
      </c>
    </row>
    <row r="286" customFormat="false" ht="15" hidden="false" customHeight="false" outlineLevel="0" collapsed="false">
      <c r="L286" s="20" t="str">
        <f aca="false">IF(OR(H286="",I286="",J286=""),"",IF(H286=I286,"",ABS(J286-H286)/ABS(H286-I286)))</f>
        <v/>
      </c>
      <c r="M286" s="9" t="str">
        <f aca="false">IF(OR(H286="",I286="",H286=I286),"",ROUNDDOWN(Config!$B$11/ABS(H286-I286),0))</f>
        <v/>
      </c>
    </row>
    <row r="287" customFormat="false" ht="15" hidden="false" customHeight="false" outlineLevel="0" collapsed="false">
      <c r="L287" s="20" t="str">
        <f aca="false">IF(OR(H287="",I287="",J287=""),"",IF(H287=I287,"",ABS(J287-H287)/ABS(H287-I287)))</f>
        <v/>
      </c>
      <c r="M287" s="9" t="str">
        <f aca="false">IF(OR(H287="",I287="",H287=I287),"",ROUNDDOWN(Config!$B$11/ABS(H287-I287),0))</f>
        <v/>
      </c>
    </row>
    <row r="288" customFormat="false" ht="15" hidden="false" customHeight="false" outlineLevel="0" collapsed="false">
      <c r="L288" s="20" t="str">
        <f aca="false">IF(OR(H288="",I288="",J288=""),"",IF(H288=I288,"",ABS(J288-H288)/ABS(H288-I288)))</f>
        <v/>
      </c>
      <c r="M288" s="9" t="str">
        <f aca="false">IF(OR(H288="",I288="",H288=I288),"",ROUNDDOWN(Config!$B$11/ABS(H288-I288),0))</f>
        <v/>
      </c>
    </row>
    <row r="289" customFormat="false" ht="15" hidden="false" customHeight="false" outlineLevel="0" collapsed="false">
      <c r="L289" s="20" t="str">
        <f aca="false">IF(OR(H289="",I289="",J289=""),"",IF(H289=I289,"",ABS(J289-H289)/ABS(H289-I289)))</f>
        <v/>
      </c>
      <c r="M289" s="9" t="str">
        <f aca="false">IF(OR(H289="",I289="",H289=I289),"",ROUNDDOWN(Config!$B$11/ABS(H289-I289),0))</f>
        <v/>
      </c>
    </row>
    <row r="290" customFormat="false" ht="15" hidden="false" customHeight="false" outlineLevel="0" collapsed="false">
      <c r="L290" s="20" t="str">
        <f aca="false">IF(OR(H290="",I290="",J290=""),"",IF(H290=I290,"",ABS(J290-H290)/ABS(H290-I290)))</f>
        <v/>
      </c>
      <c r="M290" s="9" t="str">
        <f aca="false">IF(OR(H290="",I290="",H290=I290),"",ROUNDDOWN(Config!$B$11/ABS(H290-I290),0))</f>
        <v/>
      </c>
    </row>
    <row r="291" customFormat="false" ht="15" hidden="false" customHeight="false" outlineLevel="0" collapsed="false">
      <c r="L291" s="20" t="str">
        <f aca="false">IF(OR(H291="",I291="",J291=""),"",IF(H291=I291,"",ABS(J291-H291)/ABS(H291-I291)))</f>
        <v/>
      </c>
      <c r="M291" s="9" t="str">
        <f aca="false">IF(OR(H291="",I291="",H291=I291),"",ROUNDDOWN(Config!$B$11/ABS(H291-I291),0))</f>
        <v/>
      </c>
    </row>
    <row r="292" customFormat="false" ht="15" hidden="false" customHeight="false" outlineLevel="0" collapsed="false">
      <c r="L292" s="20" t="str">
        <f aca="false">IF(OR(H292="",I292="",J292=""),"",IF(H292=I292,"",ABS(J292-H292)/ABS(H292-I292)))</f>
        <v/>
      </c>
      <c r="M292" s="9" t="str">
        <f aca="false">IF(OR(H292="",I292="",H292=I292),"",ROUNDDOWN(Config!$B$11/ABS(H292-I292),0))</f>
        <v/>
      </c>
    </row>
    <row r="293" customFormat="false" ht="15" hidden="false" customHeight="false" outlineLevel="0" collapsed="false">
      <c r="L293" s="20" t="str">
        <f aca="false">IF(OR(H293="",I293="",J293=""),"",IF(H293=I293,"",ABS(J293-H293)/ABS(H293-I293)))</f>
        <v/>
      </c>
      <c r="M293" s="9" t="str">
        <f aca="false">IF(OR(H293="",I293="",H293=I293),"",ROUNDDOWN(Config!$B$11/ABS(H293-I293),0))</f>
        <v/>
      </c>
    </row>
    <row r="294" customFormat="false" ht="15" hidden="false" customHeight="false" outlineLevel="0" collapsed="false">
      <c r="L294" s="20" t="str">
        <f aca="false">IF(OR(H294="",I294="",J294=""),"",IF(H294=I294,"",ABS(J294-H294)/ABS(H294-I294)))</f>
        <v/>
      </c>
      <c r="M294" s="9" t="str">
        <f aca="false">IF(OR(H294="",I294="",H294=I294),"",ROUNDDOWN(Config!$B$11/ABS(H294-I294),0))</f>
        <v/>
      </c>
    </row>
    <row r="295" customFormat="false" ht="15" hidden="false" customHeight="false" outlineLevel="0" collapsed="false">
      <c r="L295" s="20" t="str">
        <f aca="false">IF(OR(H295="",I295="",J295=""),"",IF(H295=I295,"",ABS(J295-H295)/ABS(H295-I295)))</f>
        <v/>
      </c>
      <c r="M295" s="9" t="str">
        <f aca="false">IF(OR(H295="",I295="",H295=I295),"",ROUNDDOWN(Config!$B$11/ABS(H295-I295),0))</f>
        <v/>
      </c>
    </row>
    <row r="296" customFormat="false" ht="15" hidden="false" customHeight="false" outlineLevel="0" collapsed="false">
      <c r="L296" s="20" t="str">
        <f aca="false">IF(OR(H296="",I296="",J296=""),"",IF(H296=I296,"",ABS(J296-H296)/ABS(H296-I296)))</f>
        <v/>
      </c>
      <c r="M296" s="9" t="str">
        <f aca="false">IF(OR(H296="",I296="",H296=I296),"",ROUNDDOWN(Config!$B$11/ABS(H296-I296),0))</f>
        <v/>
      </c>
    </row>
    <row r="297" customFormat="false" ht="15" hidden="false" customHeight="false" outlineLevel="0" collapsed="false">
      <c r="L297" s="20" t="str">
        <f aca="false">IF(OR(H297="",I297="",J297=""),"",IF(H297=I297,"",ABS(J297-H297)/ABS(H297-I297)))</f>
        <v/>
      </c>
      <c r="M297" s="9" t="str">
        <f aca="false">IF(OR(H297="",I297="",H297=I297),"",ROUNDDOWN(Config!$B$11/ABS(H297-I297),0))</f>
        <v/>
      </c>
    </row>
    <row r="298" customFormat="false" ht="15" hidden="false" customHeight="false" outlineLevel="0" collapsed="false">
      <c r="L298" s="20" t="str">
        <f aca="false">IF(OR(H298="",I298="",J298=""),"",IF(H298=I298,"",ABS(J298-H298)/ABS(H298-I298)))</f>
        <v/>
      </c>
      <c r="M298" s="9" t="str">
        <f aca="false">IF(OR(H298="",I298="",H298=I298),"",ROUNDDOWN(Config!$B$11/ABS(H298-I298),0))</f>
        <v/>
      </c>
    </row>
    <row r="299" customFormat="false" ht="15" hidden="false" customHeight="false" outlineLevel="0" collapsed="false">
      <c r="L299" s="20" t="str">
        <f aca="false">IF(OR(H299="",I299="",J299=""),"",IF(H299=I299,"",ABS(J299-H299)/ABS(H299-I299)))</f>
        <v/>
      </c>
      <c r="M299" s="9" t="str">
        <f aca="false">IF(OR(H299="",I299="",H299=I299),"",ROUNDDOWN(Config!$B$11/ABS(H299-I299),0))</f>
        <v/>
      </c>
    </row>
    <row r="300" customFormat="false" ht="15" hidden="false" customHeight="false" outlineLevel="0" collapsed="false">
      <c r="L300" s="20" t="str">
        <f aca="false">IF(OR(H300="",I300="",J300=""),"",IF(H300=I300,"",ABS(J300-H300)/ABS(H300-I300)))</f>
        <v/>
      </c>
      <c r="M300" s="9" t="str">
        <f aca="false">IF(OR(H300="",I300="",H300=I300),"",ROUNDDOWN(Config!$B$11/ABS(H300-I300),0))</f>
        <v/>
      </c>
    </row>
    <row r="301" customFormat="false" ht="15" hidden="false" customHeight="false" outlineLevel="0" collapsed="false">
      <c r="L301" s="20" t="str">
        <f aca="false">IF(OR(H301="",I301="",J301=""),"",IF(H301=I301,"",ABS(J301-H301)/ABS(H301-I301)))</f>
        <v/>
      </c>
      <c r="M301" s="9" t="str">
        <f aca="false">IF(OR(H301="",I301="",H301=I301),"",ROUNDDOWN(Config!$B$11/ABS(H301-I301),0))</f>
        <v/>
      </c>
    </row>
    <row r="302" customFormat="false" ht="15" hidden="false" customHeight="false" outlineLevel="0" collapsed="false">
      <c r="L302" s="20" t="str">
        <f aca="false">IF(OR(H302="",I302="",J302=""),"",IF(H302=I302,"",ABS(J302-H302)/ABS(H302-I302)))</f>
        <v/>
      </c>
      <c r="M302" s="9" t="str">
        <f aca="false">IF(OR(H302="",I302="",H302=I302),"",ROUNDDOWN(Config!$B$11/ABS(H302-I302),0))</f>
        <v/>
      </c>
    </row>
    <row r="303" customFormat="false" ht="15" hidden="false" customHeight="false" outlineLevel="0" collapsed="false">
      <c r="L303" s="20" t="str">
        <f aca="false">IF(OR(H303="",I303="",J303=""),"",IF(H303=I303,"",ABS(J303-H303)/ABS(H303-I303)))</f>
        <v/>
      </c>
      <c r="M303" s="9" t="str">
        <f aca="false">IF(OR(H303="",I303="",H303=I303),"",ROUNDDOWN(Config!$B$11/ABS(H303-I303),0))</f>
        <v/>
      </c>
    </row>
    <row r="304" customFormat="false" ht="15" hidden="false" customHeight="false" outlineLevel="0" collapsed="false">
      <c r="L304" s="20" t="str">
        <f aca="false">IF(OR(H304="",I304="",J304=""),"",IF(H304=I304,"",ABS(J304-H304)/ABS(H304-I304)))</f>
        <v/>
      </c>
      <c r="M304" s="9" t="str">
        <f aca="false">IF(OR(H304="",I304="",H304=I304),"",ROUNDDOWN(Config!$B$11/ABS(H304-I304),0))</f>
        <v/>
      </c>
    </row>
    <row r="305" customFormat="false" ht="15" hidden="false" customHeight="false" outlineLevel="0" collapsed="false">
      <c r="L305" s="20" t="str">
        <f aca="false">IF(OR(H305="",I305="",J305=""),"",IF(H305=I305,"",ABS(J305-H305)/ABS(H305-I305)))</f>
        <v/>
      </c>
      <c r="M305" s="9" t="str">
        <f aca="false">IF(OR(H305="",I305="",H305=I305),"",ROUNDDOWN(Config!$B$11/ABS(H305-I305),0))</f>
        <v/>
      </c>
    </row>
    <row r="306" customFormat="false" ht="15" hidden="false" customHeight="false" outlineLevel="0" collapsed="false">
      <c r="L306" s="20" t="str">
        <f aca="false">IF(OR(H306="",I306="",J306=""),"",IF(H306=I306,"",ABS(J306-H306)/ABS(H306-I306)))</f>
        <v/>
      </c>
      <c r="M306" s="9" t="str">
        <f aca="false">IF(OR(H306="",I306="",H306=I306),"",ROUNDDOWN(Config!$B$11/ABS(H306-I306),0))</f>
        <v/>
      </c>
    </row>
    <row r="307" customFormat="false" ht="15" hidden="false" customHeight="false" outlineLevel="0" collapsed="false">
      <c r="L307" s="20" t="str">
        <f aca="false">IF(OR(H307="",I307="",J307=""),"",IF(H307=I307,"",ABS(J307-H307)/ABS(H307-I307)))</f>
        <v/>
      </c>
      <c r="M307" s="9" t="str">
        <f aca="false">IF(OR(H307="",I307="",H307=I307),"",ROUNDDOWN(Config!$B$11/ABS(H307-I307),0))</f>
        <v/>
      </c>
    </row>
    <row r="308" customFormat="false" ht="15" hidden="false" customHeight="false" outlineLevel="0" collapsed="false">
      <c r="L308" s="20" t="str">
        <f aca="false">IF(OR(H308="",I308="",J308=""),"",IF(H308=I308,"",ABS(J308-H308)/ABS(H308-I308)))</f>
        <v/>
      </c>
      <c r="M308" s="9" t="str">
        <f aca="false">IF(OR(H308="",I308="",H308=I308),"",ROUNDDOWN(Config!$B$11/ABS(H308-I308),0))</f>
        <v/>
      </c>
    </row>
    <row r="309" customFormat="false" ht="15" hidden="false" customHeight="false" outlineLevel="0" collapsed="false">
      <c r="L309" s="20" t="str">
        <f aca="false">IF(OR(H309="",I309="",J309=""),"",IF(H309=I309,"",ABS(J309-H309)/ABS(H309-I309)))</f>
        <v/>
      </c>
      <c r="M309" s="9" t="str">
        <f aca="false">IF(OR(H309="",I309="",H309=I309),"",ROUNDDOWN(Config!$B$11/ABS(H309-I309),0))</f>
        <v/>
      </c>
    </row>
    <row r="310" customFormat="false" ht="15" hidden="false" customHeight="false" outlineLevel="0" collapsed="false">
      <c r="L310" s="20" t="str">
        <f aca="false">IF(OR(H310="",I310="",J310=""),"",IF(H310=I310,"",ABS(J310-H310)/ABS(H310-I310)))</f>
        <v/>
      </c>
      <c r="M310" s="9" t="str">
        <f aca="false">IF(OR(H310="",I310="",H310=I310),"",ROUNDDOWN(Config!$B$11/ABS(H310-I310),0))</f>
        <v/>
      </c>
    </row>
    <row r="311" customFormat="false" ht="15" hidden="false" customHeight="false" outlineLevel="0" collapsed="false">
      <c r="L311" s="20" t="str">
        <f aca="false">IF(OR(H311="",I311="",J311=""),"",IF(H311=I311,"",ABS(J311-H311)/ABS(H311-I311)))</f>
        <v/>
      </c>
      <c r="M311" s="9" t="str">
        <f aca="false">IF(OR(H311="",I311="",H311=I311),"",ROUNDDOWN(Config!$B$11/ABS(H311-I311),0))</f>
        <v/>
      </c>
    </row>
    <row r="312" customFormat="false" ht="15" hidden="false" customHeight="false" outlineLevel="0" collapsed="false">
      <c r="L312" s="20" t="str">
        <f aca="false">IF(OR(H312="",I312="",J312=""),"",IF(H312=I312,"",ABS(J312-H312)/ABS(H312-I312)))</f>
        <v/>
      </c>
      <c r="M312" s="9" t="str">
        <f aca="false">IF(OR(H312="",I312="",H312=I312),"",ROUNDDOWN(Config!$B$11/ABS(H312-I312),0))</f>
        <v/>
      </c>
    </row>
    <row r="313" customFormat="false" ht="15" hidden="false" customHeight="false" outlineLevel="0" collapsed="false">
      <c r="L313" s="20" t="str">
        <f aca="false">IF(OR(H313="",I313="",J313=""),"",IF(H313=I313,"",ABS(J313-H313)/ABS(H313-I313)))</f>
        <v/>
      </c>
      <c r="M313" s="9" t="str">
        <f aca="false">IF(OR(H313="",I313="",H313=I313),"",ROUNDDOWN(Config!$B$11/ABS(H313-I313),0))</f>
        <v/>
      </c>
    </row>
    <row r="314" customFormat="false" ht="15" hidden="false" customHeight="false" outlineLevel="0" collapsed="false">
      <c r="L314" s="20" t="str">
        <f aca="false">IF(OR(H314="",I314="",J314=""),"",IF(H314=I314,"",ABS(J314-H314)/ABS(H314-I314)))</f>
        <v/>
      </c>
      <c r="M314" s="9" t="str">
        <f aca="false">IF(OR(H314="",I314="",H314=I314),"",ROUNDDOWN(Config!$B$11/ABS(H314-I314),0))</f>
        <v/>
      </c>
    </row>
    <row r="315" customFormat="false" ht="15" hidden="false" customHeight="false" outlineLevel="0" collapsed="false">
      <c r="L315" s="20" t="str">
        <f aca="false">IF(OR(H315="",I315="",J315=""),"",IF(H315=I315,"",ABS(J315-H315)/ABS(H315-I315)))</f>
        <v/>
      </c>
      <c r="M315" s="9" t="str">
        <f aca="false">IF(OR(H315="",I315="",H315=I315),"",ROUNDDOWN(Config!$B$11/ABS(H315-I315),0))</f>
        <v/>
      </c>
    </row>
    <row r="316" customFormat="false" ht="15" hidden="false" customHeight="false" outlineLevel="0" collapsed="false">
      <c r="L316" s="20" t="str">
        <f aca="false">IF(OR(H316="",I316="",J316=""),"",IF(H316=I316,"",ABS(J316-H316)/ABS(H316-I316)))</f>
        <v/>
      </c>
      <c r="M316" s="9" t="str">
        <f aca="false">IF(OR(H316="",I316="",H316=I316),"",ROUNDDOWN(Config!$B$11/ABS(H316-I316),0))</f>
        <v/>
      </c>
    </row>
    <row r="317" customFormat="false" ht="15" hidden="false" customHeight="false" outlineLevel="0" collapsed="false">
      <c r="L317" s="20" t="str">
        <f aca="false">IF(OR(H317="",I317="",J317=""),"",IF(H317=I317,"",ABS(J317-H317)/ABS(H317-I317)))</f>
        <v/>
      </c>
      <c r="M317" s="9" t="str">
        <f aca="false">IF(OR(H317="",I317="",H317=I317),"",ROUNDDOWN(Config!$B$11/ABS(H317-I317),0))</f>
        <v/>
      </c>
    </row>
    <row r="318" customFormat="false" ht="15" hidden="false" customHeight="false" outlineLevel="0" collapsed="false">
      <c r="L318" s="20" t="str">
        <f aca="false">IF(OR(H318="",I318="",J318=""),"",IF(H318=I318,"",ABS(J318-H318)/ABS(H318-I318)))</f>
        <v/>
      </c>
      <c r="M318" s="9" t="str">
        <f aca="false">IF(OR(H318="",I318="",H318=I318),"",ROUNDDOWN(Config!$B$11/ABS(H318-I318),0))</f>
        <v/>
      </c>
    </row>
    <row r="319" customFormat="false" ht="15" hidden="false" customHeight="false" outlineLevel="0" collapsed="false">
      <c r="L319" s="20" t="str">
        <f aca="false">IF(OR(H319="",I319="",J319=""),"",IF(H319=I319,"",ABS(J319-H319)/ABS(H319-I319)))</f>
        <v/>
      </c>
      <c r="M319" s="9" t="str">
        <f aca="false">IF(OR(H319="",I319="",H319=I319),"",ROUNDDOWN(Config!$B$11/ABS(H319-I319),0))</f>
        <v/>
      </c>
    </row>
    <row r="320" customFormat="false" ht="15" hidden="false" customHeight="false" outlineLevel="0" collapsed="false">
      <c r="L320" s="20" t="str">
        <f aca="false">IF(OR(H320="",I320="",J320=""),"",IF(H320=I320,"",ABS(J320-H320)/ABS(H320-I320)))</f>
        <v/>
      </c>
      <c r="M320" s="9" t="str">
        <f aca="false">IF(OR(H320="",I320="",H320=I320),"",ROUNDDOWN(Config!$B$11/ABS(H320-I320),0))</f>
        <v/>
      </c>
    </row>
    <row r="321" customFormat="false" ht="15" hidden="false" customHeight="false" outlineLevel="0" collapsed="false">
      <c r="L321" s="20" t="str">
        <f aca="false">IF(OR(H321="",I321="",J321=""),"",IF(H321=I321,"",ABS(J321-H321)/ABS(H321-I321)))</f>
        <v/>
      </c>
      <c r="M321" s="9" t="str">
        <f aca="false">IF(OR(H321="",I321="",H321=I321),"",ROUNDDOWN(Config!$B$11/ABS(H321-I321),0))</f>
        <v/>
      </c>
    </row>
    <row r="322" customFormat="false" ht="15" hidden="false" customHeight="false" outlineLevel="0" collapsed="false">
      <c r="L322" s="20" t="str">
        <f aca="false">IF(OR(H322="",I322="",J322=""),"",IF(H322=I322,"",ABS(J322-H322)/ABS(H322-I322)))</f>
        <v/>
      </c>
      <c r="M322" s="9" t="str">
        <f aca="false">IF(OR(H322="",I322="",H322=I322),"",ROUNDDOWN(Config!$B$11/ABS(H322-I322),0))</f>
        <v/>
      </c>
    </row>
    <row r="323" customFormat="false" ht="15" hidden="false" customHeight="false" outlineLevel="0" collapsed="false">
      <c r="L323" s="20" t="str">
        <f aca="false">IF(OR(H323="",I323="",J323=""),"",IF(H323=I323,"",ABS(J323-H323)/ABS(H323-I323)))</f>
        <v/>
      </c>
      <c r="M323" s="9" t="str">
        <f aca="false">IF(OR(H323="",I323="",H323=I323),"",ROUNDDOWN(Config!$B$11/ABS(H323-I323),0))</f>
        <v/>
      </c>
    </row>
    <row r="324" customFormat="false" ht="15" hidden="false" customHeight="false" outlineLevel="0" collapsed="false">
      <c r="L324" s="20" t="str">
        <f aca="false">IF(OR(H324="",I324="",J324=""),"",IF(H324=I324,"",ABS(J324-H324)/ABS(H324-I324)))</f>
        <v/>
      </c>
      <c r="M324" s="9" t="str">
        <f aca="false">IF(OR(H324="",I324="",H324=I324),"",ROUNDDOWN(Config!$B$11/ABS(H324-I324),0))</f>
        <v/>
      </c>
    </row>
    <row r="325" customFormat="false" ht="15" hidden="false" customHeight="false" outlineLevel="0" collapsed="false">
      <c r="L325" s="20" t="str">
        <f aca="false">IF(OR(H325="",I325="",J325=""),"",IF(H325=I325,"",ABS(J325-H325)/ABS(H325-I325)))</f>
        <v/>
      </c>
      <c r="M325" s="9" t="str">
        <f aca="false">IF(OR(H325="",I325="",H325=I325),"",ROUNDDOWN(Config!$B$11/ABS(H325-I325),0))</f>
        <v/>
      </c>
    </row>
    <row r="326" customFormat="false" ht="15" hidden="false" customHeight="false" outlineLevel="0" collapsed="false">
      <c r="L326" s="20" t="str">
        <f aca="false">IF(OR(H326="",I326="",J326=""),"",IF(H326=I326,"",ABS(J326-H326)/ABS(H326-I326)))</f>
        <v/>
      </c>
      <c r="M326" s="9" t="str">
        <f aca="false">IF(OR(H326="",I326="",H326=I326),"",ROUNDDOWN(Config!$B$11/ABS(H326-I326),0))</f>
        <v/>
      </c>
    </row>
    <row r="327" customFormat="false" ht="15" hidden="false" customHeight="false" outlineLevel="0" collapsed="false">
      <c r="L327" s="20" t="str">
        <f aca="false">IF(OR(H327="",I327="",J327=""),"",IF(H327=I327,"",ABS(J327-H327)/ABS(H327-I327)))</f>
        <v/>
      </c>
      <c r="M327" s="9" t="str">
        <f aca="false">IF(OR(H327="",I327="",H327=I327),"",ROUNDDOWN(Config!$B$11/ABS(H327-I327),0))</f>
        <v/>
      </c>
    </row>
    <row r="328" customFormat="false" ht="15" hidden="false" customHeight="false" outlineLevel="0" collapsed="false">
      <c r="L328" s="20" t="str">
        <f aca="false">IF(OR(H328="",I328="",J328=""),"",IF(H328=I328,"",ABS(J328-H328)/ABS(H328-I328)))</f>
        <v/>
      </c>
      <c r="M328" s="9" t="str">
        <f aca="false">IF(OR(H328="",I328="",H328=I328),"",ROUNDDOWN(Config!$B$11/ABS(H328-I328),0))</f>
        <v/>
      </c>
    </row>
    <row r="329" customFormat="false" ht="15" hidden="false" customHeight="false" outlineLevel="0" collapsed="false">
      <c r="L329" s="20" t="str">
        <f aca="false">IF(OR(H329="",I329="",J329=""),"",IF(H329=I329,"",ABS(J329-H329)/ABS(H329-I329)))</f>
        <v/>
      </c>
      <c r="M329" s="9" t="str">
        <f aca="false">IF(OR(H329="",I329="",H329=I329),"",ROUNDDOWN(Config!$B$11/ABS(H329-I329),0))</f>
        <v/>
      </c>
    </row>
    <row r="330" customFormat="false" ht="15" hidden="false" customHeight="false" outlineLevel="0" collapsed="false">
      <c r="L330" s="20" t="str">
        <f aca="false">IF(OR(H330="",I330="",J330=""),"",IF(H330=I330,"",ABS(J330-H330)/ABS(H330-I330)))</f>
        <v/>
      </c>
      <c r="M330" s="9" t="str">
        <f aca="false">IF(OR(H330="",I330="",H330=I330),"",ROUNDDOWN(Config!$B$11/ABS(H330-I330),0))</f>
        <v/>
      </c>
    </row>
    <row r="331" customFormat="false" ht="15" hidden="false" customHeight="false" outlineLevel="0" collapsed="false">
      <c r="L331" s="20" t="str">
        <f aca="false">IF(OR(H331="",I331="",J331=""),"",IF(H331=I331,"",ABS(J331-H331)/ABS(H331-I331)))</f>
        <v/>
      </c>
      <c r="M331" s="9" t="str">
        <f aca="false">IF(OR(H331="",I331="",H331=I331),"",ROUNDDOWN(Config!$B$11/ABS(H331-I331),0))</f>
        <v/>
      </c>
    </row>
    <row r="332" customFormat="false" ht="15" hidden="false" customHeight="false" outlineLevel="0" collapsed="false">
      <c r="L332" s="20" t="str">
        <f aca="false">IF(OR(H332="",I332="",J332=""),"",IF(H332=I332,"",ABS(J332-H332)/ABS(H332-I332)))</f>
        <v/>
      </c>
      <c r="M332" s="9" t="str">
        <f aca="false">IF(OR(H332="",I332="",H332=I332),"",ROUNDDOWN(Config!$B$11/ABS(H332-I332),0))</f>
        <v/>
      </c>
    </row>
    <row r="333" customFormat="false" ht="15" hidden="false" customHeight="false" outlineLevel="0" collapsed="false">
      <c r="L333" s="20" t="str">
        <f aca="false">IF(OR(H333="",I333="",J333=""),"",IF(H333=I333,"",ABS(J333-H333)/ABS(H333-I333)))</f>
        <v/>
      </c>
      <c r="M333" s="9" t="str">
        <f aca="false">IF(OR(H333="",I333="",H333=I333),"",ROUNDDOWN(Config!$B$11/ABS(H333-I333),0))</f>
        <v/>
      </c>
    </row>
    <row r="334" customFormat="false" ht="15" hidden="false" customHeight="false" outlineLevel="0" collapsed="false">
      <c r="L334" s="20" t="str">
        <f aca="false">IF(OR(H334="",I334="",J334=""),"",IF(H334=I334,"",ABS(J334-H334)/ABS(H334-I334)))</f>
        <v/>
      </c>
      <c r="M334" s="9" t="str">
        <f aca="false">IF(OR(H334="",I334="",H334=I334),"",ROUNDDOWN(Config!$B$11/ABS(H334-I334),0))</f>
        <v/>
      </c>
    </row>
    <row r="335" customFormat="false" ht="15" hidden="false" customHeight="false" outlineLevel="0" collapsed="false">
      <c r="L335" s="20" t="str">
        <f aca="false">IF(OR(H335="",I335="",J335=""),"",IF(H335=I335,"",ABS(J335-H335)/ABS(H335-I335)))</f>
        <v/>
      </c>
      <c r="M335" s="9" t="str">
        <f aca="false">IF(OR(H335="",I335="",H335=I335),"",ROUNDDOWN(Config!$B$11/ABS(H335-I335),0))</f>
        <v/>
      </c>
    </row>
    <row r="336" customFormat="false" ht="15" hidden="false" customHeight="false" outlineLevel="0" collapsed="false">
      <c r="L336" s="20" t="str">
        <f aca="false">IF(OR(H336="",I336="",J336=""),"",IF(H336=I336,"",ABS(J336-H336)/ABS(H336-I336)))</f>
        <v/>
      </c>
      <c r="M336" s="9" t="str">
        <f aca="false">IF(OR(H336="",I336="",H336=I336),"",ROUNDDOWN(Config!$B$11/ABS(H336-I336),0))</f>
        <v/>
      </c>
    </row>
    <row r="337" customFormat="false" ht="15" hidden="false" customHeight="false" outlineLevel="0" collapsed="false">
      <c r="L337" s="20" t="str">
        <f aca="false">IF(OR(H337="",I337="",J337=""),"",IF(H337=I337,"",ABS(J337-H337)/ABS(H337-I337)))</f>
        <v/>
      </c>
      <c r="M337" s="9" t="str">
        <f aca="false">IF(OR(H337="",I337="",H337=I337),"",ROUNDDOWN(Config!$B$11/ABS(H337-I337),0))</f>
        <v/>
      </c>
    </row>
    <row r="338" customFormat="false" ht="15" hidden="false" customHeight="false" outlineLevel="0" collapsed="false">
      <c r="L338" s="20" t="str">
        <f aca="false">IF(OR(H338="",I338="",J338=""),"",IF(H338=I338,"",ABS(J338-H338)/ABS(H338-I338)))</f>
        <v/>
      </c>
      <c r="M338" s="9" t="str">
        <f aca="false">IF(OR(H338="",I338="",H338=I338),"",ROUNDDOWN(Config!$B$11/ABS(H338-I338),0))</f>
        <v/>
      </c>
    </row>
    <row r="339" customFormat="false" ht="15" hidden="false" customHeight="false" outlineLevel="0" collapsed="false">
      <c r="L339" s="20" t="str">
        <f aca="false">IF(OR(H339="",I339="",J339=""),"",IF(H339=I339,"",ABS(J339-H339)/ABS(H339-I339)))</f>
        <v/>
      </c>
      <c r="M339" s="9" t="str">
        <f aca="false">IF(OR(H339="",I339="",H339=I339),"",ROUNDDOWN(Config!$B$11/ABS(H339-I339),0))</f>
        <v/>
      </c>
    </row>
    <row r="340" customFormat="false" ht="15" hidden="false" customHeight="false" outlineLevel="0" collapsed="false">
      <c r="L340" s="20" t="str">
        <f aca="false">IF(OR(H340="",I340="",J340=""),"",IF(H340=I340,"",ABS(J340-H340)/ABS(H340-I340)))</f>
        <v/>
      </c>
      <c r="M340" s="9" t="str">
        <f aca="false">IF(OR(H340="",I340="",H340=I340),"",ROUNDDOWN(Config!$B$11/ABS(H340-I340),0))</f>
        <v/>
      </c>
    </row>
    <row r="341" customFormat="false" ht="15" hidden="false" customHeight="false" outlineLevel="0" collapsed="false">
      <c r="L341" s="20" t="str">
        <f aca="false">IF(OR(H341="",I341="",J341=""),"",IF(H341=I341,"",ABS(J341-H341)/ABS(H341-I341)))</f>
        <v/>
      </c>
      <c r="M341" s="9" t="str">
        <f aca="false">IF(OR(H341="",I341="",H341=I341),"",ROUNDDOWN(Config!$B$11/ABS(H341-I341),0))</f>
        <v/>
      </c>
    </row>
    <row r="342" customFormat="false" ht="15" hidden="false" customHeight="false" outlineLevel="0" collapsed="false">
      <c r="L342" s="20" t="str">
        <f aca="false">IF(OR(H342="",I342="",J342=""),"",IF(H342=I342,"",ABS(J342-H342)/ABS(H342-I342)))</f>
        <v/>
      </c>
      <c r="M342" s="9" t="str">
        <f aca="false">IF(OR(H342="",I342="",H342=I342),"",ROUNDDOWN(Config!$B$11/ABS(H342-I342),0))</f>
        <v/>
      </c>
    </row>
    <row r="343" customFormat="false" ht="15" hidden="false" customHeight="false" outlineLevel="0" collapsed="false">
      <c r="L343" s="20" t="str">
        <f aca="false">IF(OR(H343="",I343="",J343=""),"",IF(H343=I343,"",ABS(J343-H343)/ABS(H343-I343)))</f>
        <v/>
      </c>
      <c r="M343" s="9" t="str">
        <f aca="false">IF(OR(H343="",I343="",H343=I343),"",ROUNDDOWN(Config!$B$11/ABS(H343-I343),0))</f>
        <v/>
      </c>
    </row>
    <row r="344" customFormat="false" ht="15" hidden="false" customHeight="false" outlineLevel="0" collapsed="false">
      <c r="L344" s="20" t="str">
        <f aca="false">IF(OR(H344="",I344="",J344=""),"",IF(H344=I344,"",ABS(J344-H344)/ABS(H344-I344)))</f>
        <v/>
      </c>
      <c r="M344" s="9" t="str">
        <f aca="false">IF(OR(H344="",I344="",H344=I344),"",ROUNDDOWN(Config!$B$11/ABS(H344-I344),0))</f>
        <v/>
      </c>
    </row>
    <row r="345" customFormat="false" ht="15" hidden="false" customHeight="false" outlineLevel="0" collapsed="false">
      <c r="L345" s="20" t="str">
        <f aca="false">IF(OR(H345="",I345="",J345=""),"",IF(H345=I345,"",ABS(J345-H345)/ABS(H345-I345)))</f>
        <v/>
      </c>
      <c r="M345" s="9" t="str">
        <f aca="false">IF(OR(H345="",I345="",H345=I345),"",ROUNDDOWN(Config!$B$11/ABS(H345-I345),0))</f>
        <v/>
      </c>
    </row>
    <row r="346" customFormat="false" ht="15" hidden="false" customHeight="false" outlineLevel="0" collapsed="false">
      <c r="L346" s="20" t="str">
        <f aca="false">IF(OR(H346="",I346="",J346=""),"",IF(H346=I346,"",ABS(J346-H346)/ABS(H346-I346)))</f>
        <v/>
      </c>
      <c r="M346" s="9" t="str">
        <f aca="false">IF(OR(H346="",I346="",H346=I346),"",ROUNDDOWN(Config!$B$11/ABS(H346-I346),0))</f>
        <v/>
      </c>
    </row>
    <row r="347" customFormat="false" ht="15" hidden="false" customHeight="false" outlineLevel="0" collapsed="false">
      <c r="L347" s="20" t="str">
        <f aca="false">IF(OR(H347="",I347="",J347=""),"",IF(H347=I347,"",ABS(J347-H347)/ABS(H347-I347)))</f>
        <v/>
      </c>
      <c r="M347" s="9" t="str">
        <f aca="false">IF(OR(H347="",I347="",H347=I347),"",ROUNDDOWN(Config!$B$11/ABS(H347-I347),0))</f>
        <v/>
      </c>
    </row>
    <row r="348" customFormat="false" ht="15" hidden="false" customHeight="false" outlineLevel="0" collapsed="false">
      <c r="L348" s="20" t="str">
        <f aca="false">IF(OR(H348="",I348="",J348=""),"",IF(H348=I348,"",ABS(J348-H348)/ABS(H348-I348)))</f>
        <v/>
      </c>
      <c r="M348" s="9" t="str">
        <f aca="false">IF(OR(H348="",I348="",H348=I348),"",ROUNDDOWN(Config!$B$11/ABS(H348-I348),0))</f>
        <v/>
      </c>
    </row>
    <row r="349" customFormat="false" ht="15" hidden="false" customHeight="false" outlineLevel="0" collapsed="false">
      <c r="L349" s="20" t="str">
        <f aca="false">IF(OR(H349="",I349="",J349=""),"",IF(H349=I349,"",ABS(J349-H349)/ABS(H349-I349)))</f>
        <v/>
      </c>
      <c r="M349" s="9" t="str">
        <f aca="false">IF(OR(H349="",I349="",H349=I349),"",ROUNDDOWN(Config!$B$11/ABS(H349-I349),0))</f>
        <v/>
      </c>
    </row>
    <row r="350" customFormat="false" ht="15" hidden="false" customHeight="false" outlineLevel="0" collapsed="false">
      <c r="L350" s="20" t="str">
        <f aca="false">IF(OR(H350="",I350="",J350=""),"",IF(H350=I350,"",ABS(J350-H350)/ABS(H350-I350)))</f>
        <v/>
      </c>
      <c r="M350" s="9" t="str">
        <f aca="false">IF(OR(H350="",I350="",H350=I350),"",ROUNDDOWN(Config!$B$11/ABS(H350-I350),0))</f>
        <v/>
      </c>
    </row>
    <row r="351" customFormat="false" ht="15" hidden="false" customHeight="false" outlineLevel="0" collapsed="false">
      <c r="L351" s="20" t="str">
        <f aca="false">IF(OR(H351="",I351="",J351=""),"",IF(H351=I351,"",ABS(J351-H351)/ABS(H351-I351)))</f>
        <v/>
      </c>
      <c r="M351" s="9" t="str">
        <f aca="false">IF(OR(H351="",I351="",H351=I351),"",ROUNDDOWN(Config!$B$11/ABS(H351-I351),0))</f>
        <v/>
      </c>
    </row>
    <row r="352" customFormat="false" ht="15" hidden="false" customHeight="false" outlineLevel="0" collapsed="false">
      <c r="L352" s="20" t="str">
        <f aca="false">IF(OR(H352="",I352="",J352=""),"",IF(H352=I352,"",ABS(J352-H352)/ABS(H352-I352)))</f>
        <v/>
      </c>
      <c r="M352" s="9" t="str">
        <f aca="false">IF(OR(H352="",I352="",H352=I352),"",ROUNDDOWN(Config!$B$11/ABS(H352-I352),0))</f>
        <v/>
      </c>
    </row>
    <row r="353" customFormat="false" ht="15" hidden="false" customHeight="false" outlineLevel="0" collapsed="false">
      <c r="L353" s="20" t="str">
        <f aca="false">IF(OR(H353="",I353="",J353=""),"",IF(H353=I353,"",ABS(J353-H353)/ABS(H353-I353)))</f>
        <v/>
      </c>
      <c r="M353" s="9" t="str">
        <f aca="false">IF(OR(H353="",I353="",H353=I353),"",ROUNDDOWN(Config!$B$11/ABS(H353-I353),0))</f>
        <v/>
      </c>
    </row>
    <row r="354" customFormat="false" ht="15" hidden="false" customHeight="false" outlineLevel="0" collapsed="false">
      <c r="L354" s="20" t="str">
        <f aca="false">IF(OR(H354="",I354="",J354=""),"",IF(H354=I354,"",ABS(J354-H354)/ABS(H354-I354)))</f>
        <v/>
      </c>
      <c r="M354" s="9" t="str">
        <f aca="false">IF(OR(H354="",I354="",H354=I354),"",ROUNDDOWN(Config!$B$11/ABS(H354-I354),0))</f>
        <v/>
      </c>
    </row>
    <row r="355" customFormat="false" ht="15" hidden="false" customHeight="false" outlineLevel="0" collapsed="false">
      <c r="L355" s="20" t="str">
        <f aca="false">IF(OR(H355="",I355="",J355=""),"",IF(H355=I355,"",ABS(J355-H355)/ABS(H355-I355)))</f>
        <v/>
      </c>
      <c r="M355" s="9" t="str">
        <f aca="false">IF(OR(H355="",I355="",H355=I355),"",ROUNDDOWN(Config!$B$11/ABS(H355-I355),0))</f>
        <v/>
      </c>
    </row>
    <row r="356" customFormat="false" ht="15" hidden="false" customHeight="false" outlineLevel="0" collapsed="false">
      <c r="L356" s="20" t="str">
        <f aca="false">IF(OR(H356="",I356="",J356=""),"",IF(H356=I356,"",ABS(J356-H356)/ABS(H356-I356)))</f>
        <v/>
      </c>
      <c r="M356" s="9" t="str">
        <f aca="false">IF(OR(H356="",I356="",H356=I356),"",ROUNDDOWN(Config!$B$11/ABS(H356-I356),0))</f>
        <v/>
      </c>
    </row>
    <row r="357" customFormat="false" ht="15" hidden="false" customHeight="false" outlineLevel="0" collapsed="false">
      <c r="L357" s="20" t="str">
        <f aca="false">IF(OR(H357="",I357="",J357=""),"",IF(H357=I357,"",ABS(J357-H357)/ABS(H357-I357)))</f>
        <v/>
      </c>
      <c r="M357" s="9" t="str">
        <f aca="false">IF(OR(H357="",I357="",H357=I357),"",ROUNDDOWN(Config!$B$11/ABS(H357-I357),0))</f>
        <v/>
      </c>
    </row>
    <row r="358" customFormat="false" ht="15" hidden="false" customHeight="false" outlineLevel="0" collapsed="false">
      <c r="L358" s="20" t="str">
        <f aca="false">IF(OR(H358="",I358="",J358=""),"",IF(H358=I358,"",ABS(J358-H358)/ABS(H358-I358)))</f>
        <v/>
      </c>
      <c r="M358" s="9" t="str">
        <f aca="false">IF(OR(H358="",I358="",H358=I358),"",ROUNDDOWN(Config!$B$11/ABS(H358-I358),0))</f>
        <v/>
      </c>
    </row>
    <row r="359" customFormat="false" ht="15" hidden="false" customHeight="false" outlineLevel="0" collapsed="false">
      <c r="L359" s="20" t="str">
        <f aca="false">IF(OR(H359="",I359="",J359=""),"",IF(H359=I359,"",ABS(J359-H359)/ABS(H359-I359)))</f>
        <v/>
      </c>
      <c r="M359" s="9" t="str">
        <f aca="false">IF(OR(H359="",I359="",H359=I359),"",ROUNDDOWN(Config!$B$11/ABS(H359-I359),0))</f>
        <v/>
      </c>
    </row>
    <row r="360" customFormat="false" ht="15" hidden="false" customHeight="false" outlineLevel="0" collapsed="false">
      <c r="L360" s="20" t="str">
        <f aca="false">IF(OR(H360="",I360="",J360=""),"",IF(H360=I360,"",ABS(J360-H360)/ABS(H360-I360)))</f>
        <v/>
      </c>
      <c r="M360" s="9" t="str">
        <f aca="false">IF(OR(H360="",I360="",H360=I360),"",ROUNDDOWN(Config!$B$11/ABS(H360-I360),0))</f>
        <v/>
      </c>
    </row>
    <row r="361" customFormat="false" ht="15" hidden="false" customHeight="false" outlineLevel="0" collapsed="false">
      <c r="L361" s="20" t="str">
        <f aca="false">IF(OR(H361="",I361="",J361=""),"",IF(H361=I361,"",ABS(J361-H361)/ABS(H361-I361)))</f>
        <v/>
      </c>
      <c r="M361" s="9" t="str">
        <f aca="false">IF(OR(H361="",I361="",H361=I361),"",ROUNDDOWN(Config!$B$11/ABS(H361-I361),0))</f>
        <v/>
      </c>
    </row>
    <row r="362" customFormat="false" ht="15" hidden="false" customHeight="false" outlineLevel="0" collapsed="false">
      <c r="L362" s="20" t="str">
        <f aca="false">IF(OR(H362="",I362="",J362=""),"",IF(H362=I362,"",ABS(J362-H362)/ABS(H362-I362)))</f>
        <v/>
      </c>
      <c r="M362" s="9" t="str">
        <f aca="false">IF(OR(H362="",I362="",H362=I362),"",ROUNDDOWN(Config!$B$11/ABS(H362-I362),0))</f>
        <v/>
      </c>
    </row>
    <row r="363" customFormat="false" ht="15" hidden="false" customHeight="false" outlineLevel="0" collapsed="false">
      <c r="L363" s="20" t="str">
        <f aca="false">IF(OR(H363="",I363="",J363=""),"",IF(H363=I363,"",ABS(J363-H363)/ABS(H363-I363)))</f>
        <v/>
      </c>
      <c r="M363" s="9" t="str">
        <f aca="false">IF(OR(H363="",I363="",H363=I363),"",ROUNDDOWN(Config!$B$11/ABS(H363-I363),0))</f>
        <v/>
      </c>
    </row>
    <row r="364" customFormat="false" ht="15" hidden="false" customHeight="false" outlineLevel="0" collapsed="false">
      <c r="L364" s="20" t="str">
        <f aca="false">IF(OR(H364="",I364="",J364=""),"",IF(H364=I364,"",ABS(J364-H364)/ABS(H364-I364)))</f>
        <v/>
      </c>
      <c r="M364" s="9" t="str">
        <f aca="false">IF(OR(H364="",I364="",H364=I364),"",ROUNDDOWN(Config!$B$11/ABS(H364-I364),0))</f>
        <v/>
      </c>
    </row>
    <row r="365" customFormat="false" ht="15" hidden="false" customHeight="false" outlineLevel="0" collapsed="false">
      <c r="L365" s="20" t="str">
        <f aca="false">IF(OR(H365="",I365="",J365=""),"",IF(H365=I365,"",ABS(J365-H365)/ABS(H365-I365)))</f>
        <v/>
      </c>
      <c r="M365" s="9" t="str">
        <f aca="false">IF(OR(H365="",I365="",H365=I365),"",ROUNDDOWN(Config!$B$11/ABS(H365-I365),0))</f>
        <v/>
      </c>
    </row>
    <row r="366" customFormat="false" ht="15" hidden="false" customHeight="false" outlineLevel="0" collapsed="false">
      <c r="L366" s="20" t="str">
        <f aca="false">IF(OR(H366="",I366="",J366=""),"",IF(H366=I366,"",ABS(J366-H366)/ABS(H366-I366)))</f>
        <v/>
      </c>
      <c r="M366" s="9" t="str">
        <f aca="false">IF(OR(H366="",I366="",H366=I366),"",ROUNDDOWN(Config!$B$11/ABS(H366-I366),0))</f>
        <v/>
      </c>
    </row>
    <row r="367" customFormat="false" ht="15" hidden="false" customHeight="false" outlineLevel="0" collapsed="false">
      <c r="L367" s="20" t="str">
        <f aca="false">IF(OR(H367="",I367="",J367=""),"",IF(H367=I367,"",ABS(J367-H367)/ABS(H367-I367)))</f>
        <v/>
      </c>
      <c r="M367" s="9" t="str">
        <f aca="false">IF(OR(H367="",I367="",H367=I367),"",ROUNDDOWN(Config!$B$11/ABS(H367-I367),0))</f>
        <v/>
      </c>
    </row>
    <row r="368" customFormat="false" ht="15" hidden="false" customHeight="false" outlineLevel="0" collapsed="false">
      <c r="L368" s="20" t="str">
        <f aca="false">IF(OR(H368="",I368="",J368=""),"",IF(H368=I368,"",ABS(J368-H368)/ABS(H368-I368)))</f>
        <v/>
      </c>
      <c r="M368" s="9" t="str">
        <f aca="false">IF(OR(H368="",I368="",H368=I368),"",ROUNDDOWN(Config!$B$11/ABS(H368-I368),0))</f>
        <v/>
      </c>
    </row>
    <row r="369" customFormat="false" ht="15" hidden="false" customHeight="false" outlineLevel="0" collapsed="false">
      <c r="L369" s="20" t="str">
        <f aca="false">IF(OR(H369="",I369="",J369=""),"",IF(H369=I369,"",ABS(J369-H369)/ABS(H369-I369)))</f>
        <v/>
      </c>
      <c r="M369" s="9" t="str">
        <f aca="false">IF(OR(H369="",I369="",H369=I369),"",ROUNDDOWN(Config!$B$11/ABS(H369-I369),0))</f>
        <v/>
      </c>
    </row>
    <row r="370" customFormat="false" ht="15" hidden="false" customHeight="false" outlineLevel="0" collapsed="false">
      <c r="L370" s="20" t="str">
        <f aca="false">IF(OR(H370="",I370="",J370=""),"",IF(H370=I370,"",ABS(J370-H370)/ABS(H370-I370)))</f>
        <v/>
      </c>
      <c r="M370" s="9" t="str">
        <f aca="false">IF(OR(H370="",I370="",H370=I370),"",ROUNDDOWN(Config!$B$11/ABS(H370-I370),0))</f>
        <v/>
      </c>
    </row>
    <row r="371" customFormat="false" ht="15" hidden="false" customHeight="false" outlineLevel="0" collapsed="false">
      <c r="L371" s="20" t="str">
        <f aca="false">IF(OR(H371="",I371="",J371=""),"",IF(H371=I371,"",ABS(J371-H371)/ABS(H371-I371)))</f>
        <v/>
      </c>
      <c r="M371" s="9" t="str">
        <f aca="false">IF(OR(H371="",I371="",H371=I371),"",ROUNDDOWN(Config!$B$11/ABS(H371-I371),0))</f>
        <v/>
      </c>
    </row>
    <row r="372" customFormat="false" ht="15" hidden="false" customHeight="false" outlineLevel="0" collapsed="false">
      <c r="L372" s="20" t="str">
        <f aca="false">IF(OR(H372="",I372="",J372=""),"",IF(H372=I372,"",ABS(J372-H372)/ABS(H372-I372)))</f>
        <v/>
      </c>
      <c r="M372" s="9" t="str">
        <f aca="false">IF(OR(H372="",I372="",H372=I372),"",ROUNDDOWN(Config!$B$11/ABS(H372-I372),0))</f>
        <v/>
      </c>
    </row>
    <row r="373" customFormat="false" ht="15" hidden="false" customHeight="false" outlineLevel="0" collapsed="false">
      <c r="L373" s="20" t="str">
        <f aca="false">IF(OR(H373="",I373="",J373=""),"",IF(H373=I373,"",ABS(J373-H373)/ABS(H373-I373)))</f>
        <v/>
      </c>
      <c r="M373" s="9" t="str">
        <f aca="false">IF(OR(H373="",I373="",H373=I373),"",ROUNDDOWN(Config!$B$11/ABS(H373-I373),0))</f>
        <v/>
      </c>
    </row>
    <row r="374" customFormat="false" ht="15" hidden="false" customHeight="false" outlineLevel="0" collapsed="false">
      <c r="L374" s="20" t="str">
        <f aca="false">IF(OR(H374="",I374="",J374=""),"",IF(H374=I374,"",ABS(J374-H374)/ABS(H374-I374)))</f>
        <v/>
      </c>
      <c r="M374" s="9" t="str">
        <f aca="false">IF(OR(H374="",I374="",H374=I374),"",ROUNDDOWN(Config!$B$11/ABS(H374-I374),0))</f>
        <v/>
      </c>
    </row>
    <row r="375" customFormat="false" ht="15" hidden="false" customHeight="false" outlineLevel="0" collapsed="false">
      <c r="L375" s="20" t="str">
        <f aca="false">IF(OR(H375="",I375="",J375=""),"",IF(H375=I375,"",ABS(J375-H375)/ABS(H375-I375)))</f>
        <v/>
      </c>
      <c r="M375" s="9" t="str">
        <f aca="false">IF(OR(H375="",I375="",H375=I375),"",ROUNDDOWN(Config!$B$11/ABS(H375-I375),0))</f>
        <v/>
      </c>
    </row>
    <row r="376" customFormat="false" ht="15" hidden="false" customHeight="false" outlineLevel="0" collapsed="false">
      <c r="L376" s="20" t="str">
        <f aca="false">IF(OR(H376="",I376="",J376=""),"",IF(H376=I376,"",ABS(J376-H376)/ABS(H376-I376)))</f>
        <v/>
      </c>
      <c r="M376" s="9" t="str">
        <f aca="false">IF(OR(H376="",I376="",H376=I376),"",ROUNDDOWN(Config!$B$11/ABS(H376-I376),0))</f>
        <v/>
      </c>
    </row>
    <row r="377" customFormat="false" ht="15" hidden="false" customHeight="false" outlineLevel="0" collapsed="false">
      <c r="L377" s="20" t="str">
        <f aca="false">IF(OR(H377="",I377="",J377=""),"",IF(H377=I377,"",ABS(J377-H377)/ABS(H377-I377)))</f>
        <v/>
      </c>
      <c r="M377" s="9" t="str">
        <f aca="false">IF(OR(H377="",I377="",H377=I377),"",ROUNDDOWN(Config!$B$11/ABS(H377-I377),0))</f>
        <v/>
      </c>
    </row>
    <row r="378" customFormat="false" ht="15" hidden="false" customHeight="false" outlineLevel="0" collapsed="false">
      <c r="L378" s="20" t="str">
        <f aca="false">IF(OR(H378="",I378="",J378=""),"",IF(H378=I378,"",ABS(J378-H378)/ABS(H378-I378)))</f>
        <v/>
      </c>
      <c r="M378" s="9" t="str">
        <f aca="false">IF(OR(H378="",I378="",H378=I378),"",ROUNDDOWN(Config!$B$11/ABS(H378-I378),0))</f>
        <v/>
      </c>
    </row>
    <row r="379" customFormat="false" ht="15" hidden="false" customHeight="false" outlineLevel="0" collapsed="false">
      <c r="L379" s="20" t="str">
        <f aca="false">IF(OR(H379="",I379="",J379=""),"",IF(H379=I379,"",ABS(J379-H379)/ABS(H379-I379)))</f>
        <v/>
      </c>
      <c r="M379" s="9" t="str">
        <f aca="false">IF(OR(H379="",I379="",H379=I379),"",ROUNDDOWN(Config!$B$11/ABS(H379-I379),0))</f>
        <v/>
      </c>
    </row>
    <row r="380" customFormat="false" ht="15" hidden="false" customHeight="false" outlineLevel="0" collapsed="false">
      <c r="L380" s="20" t="str">
        <f aca="false">IF(OR(H380="",I380="",J380=""),"",IF(H380=I380,"",ABS(J380-H380)/ABS(H380-I380)))</f>
        <v/>
      </c>
      <c r="M380" s="9" t="str">
        <f aca="false">IF(OR(H380="",I380="",H380=I380),"",ROUNDDOWN(Config!$B$11/ABS(H380-I380),0))</f>
        <v/>
      </c>
    </row>
    <row r="381" customFormat="false" ht="15" hidden="false" customHeight="false" outlineLevel="0" collapsed="false">
      <c r="L381" s="20" t="str">
        <f aca="false">IF(OR(H381="",I381="",J381=""),"",IF(H381=I381,"",ABS(J381-H381)/ABS(H381-I381)))</f>
        <v/>
      </c>
      <c r="M381" s="9" t="str">
        <f aca="false">IF(OR(H381="",I381="",H381=I381),"",ROUNDDOWN(Config!$B$11/ABS(H381-I381),0))</f>
        <v/>
      </c>
    </row>
    <row r="382" customFormat="false" ht="15" hidden="false" customHeight="false" outlineLevel="0" collapsed="false">
      <c r="L382" s="20" t="str">
        <f aca="false">IF(OR(H382="",I382="",J382=""),"",IF(H382=I382,"",ABS(J382-H382)/ABS(H382-I382)))</f>
        <v/>
      </c>
      <c r="M382" s="9" t="str">
        <f aca="false">IF(OR(H382="",I382="",H382=I382),"",ROUNDDOWN(Config!$B$11/ABS(H382-I382),0))</f>
        <v/>
      </c>
    </row>
    <row r="383" customFormat="false" ht="15" hidden="false" customHeight="false" outlineLevel="0" collapsed="false">
      <c r="L383" s="20" t="str">
        <f aca="false">IF(OR(H383="",I383="",J383=""),"",IF(H383=I383,"",ABS(J383-H383)/ABS(H383-I383)))</f>
        <v/>
      </c>
      <c r="M383" s="9" t="str">
        <f aca="false">IF(OR(H383="",I383="",H383=I383),"",ROUNDDOWN(Config!$B$11/ABS(H383-I383),0))</f>
        <v/>
      </c>
    </row>
    <row r="384" customFormat="false" ht="15" hidden="false" customHeight="false" outlineLevel="0" collapsed="false">
      <c r="L384" s="20" t="str">
        <f aca="false">IF(OR(H384="",I384="",J384=""),"",IF(H384=I384,"",ABS(J384-H384)/ABS(H384-I384)))</f>
        <v/>
      </c>
      <c r="M384" s="9" t="str">
        <f aca="false">IF(OR(H384="",I384="",H384=I384),"",ROUNDDOWN(Config!$B$11/ABS(H384-I384),0))</f>
        <v/>
      </c>
    </row>
    <row r="385" customFormat="false" ht="15" hidden="false" customHeight="false" outlineLevel="0" collapsed="false">
      <c r="L385" s="20" t="str">
        <f aca="false">IF(OR(H385="",I385="",J385=""),"",IF(H385=I385,"",ABS(J385-H385)/ABS(H385-I385)))</f>
        <v/>
      </c>
      <c r="M385" s="9" t="str">
        <f aca="false">IF(OR(H385="",I385="",H385=I385),"",ROUNDDOWN(Config!$B$11/ABS(H385-I385),0))</f>
        <v/>
      </c>
    </row>
    <row r="386" customFormat="false" ht="15" hidden="false" customHeight="false" outlineLevel="0" collapsed="false">
      <c r="L386" s="20" t="str">
        <f aca="false">IF(OR(H386="",I386="",J386=""),"",IF(H386=I386,"",ABS(J386-H386)/ABS(H386-I386)))</f>
        <v/>
      </c>
      <c r="M386" s="9" t="str">
        <f aca="false">IF(OR(H386="",I386="",H386=I386),"",ROUNDDOWN(Config!$B$11/ABS(H386-I386),0))</f>
        <v/>
      </c>
    </row>
    <row r="387" customFormat="false" ht="15" hidden="false" customHeight="false" outlineLevel="0" collapsed="false">
      <c r="L387" s="20" t="str">
        <f aca="false">IF(OR(H387="",I387="",J387=""),"",IF(H387=I387,"",ABS(J387-H387)/ABS(H387-I387)))</f>
        <v/>
      </c>
      <c r="M387" s="9" t="str">
        <f aca="false">IF(OR(H387="",I387="",H387=I387),"",ROUNDDOWN(Config!$B$11/ABS(H387-I387),0))</f>
        <v/>
      </c>
    </row>
    <row r="388" customFormat="false" ht="15" hidden="false" customHeight="false" outlineLevel="0" collapsed="false">
      <c r="L388" s="20" t="str">
        <f aca="false">IF(OR(H388="",I388="",J388=""),"",IF(H388=I388,"",ABS(J388-H388)/ABS(H388-I388)))</f>
        <v/>
      </c>
      <c r="M388" s="9" t="str">
        <f aca="false">IF(OR(H388="",I388="",H388=I388),"",ROUNDDOWN(Config!$B$11/ABS(H388-I388),0))</f>
        <v/>
      </c>
    </row>
    <row r="389" customFormat="false" ht="15" hidden="false" customHeight="false" outlineLevel="0" collapsed="false">
      <c r="L389" s="20" t="str">
        <f aca="false">IF(OR(H389="",I389="",J389=""),"",IF(H389=I389,"",ABS(J389-H389)/ABS(H389-I389)))</f>
        <v/>
      </c>
      <c r="M389" s="9" t="str">
        <f aca="false">IF(OR(H389="",I389="",H389=I389),"",ROUNDDOWN(Config!$B$11/ABS(H389-I389),0))</f>
        <v/>
      </c>
    </row>
    <row r="390" customFormat="false" ht="15" hidden="false" customHeight="false" outlineLevel="0" collapsed="false">
      <c r="L390" s="20" t="str">
        <f aca="false">IF(OR(H390="",I390="",J390=""),"",IF(H390=I390,"",ABS(J390-H390)/ABS(H390-I390)))</f>
        <v/>
      </c>
      <c r="M390" s="9" t="str">
        <f aca="false">IF(OR(H390="",I390="",H390=I390),"",ROUNDDOWN(Config!$B$11/ABS(H390-I390),0))</f>
        <v/>
      </c>
    </row>
    <row r="391" customFormat="false" ht="15" hidden="false" customHeight="false" outlineLevel="0" collapsed="false">
      <c r="L391" s="20" t="str">
        <f aca="false">IF(OR(H391="",I391="",J391=""),"",IF(H391=I391,"",ABS(J391-H391)/ABS(H391-I391)))</f>
        <v/>
      </c>
      <c r="M391" s="9" t="str">
        <f aca="false">IF(OR(H391="",I391="",H391=I391),"",ROUNDDOWN(Config!$B$11/ABS(H391-I391),0))</f>
        <v/>
      </c>
    </row>
    <row r="392" customFormat="false" ht="15" hidden="false" customHeight="false" outlineLevel="0" collapsed="false">
      <c r="L392" s="20" t="str">
        <f aca="false">IF(OR(H392="",I392="",J392=""),"",IF(H392=I392,"",ABS(J392-H392)/ABS(H392-I392)))</f>
        <v/>
      </c>
      <c r="M392" s="9" t="str">
        <f aca="false">IF(OR(H392="",I392="",H392=I392),"",ROUNDDOWN(Config!$B$11/ABS(H392-I392),0))</f>
        <v/>
      </c>
    </row>
    <row r="393" customFormat="false" ht="15" hidden="false" customHeight="false" outlineLevel="0" collapsed="false">
      <c r="L393" s="20" t="str">
        <f aca="false">IF(OR(H393="",I393="",J393=""),"",IF(H393=I393,"",ABS(J393-H393)/ABS(H393-I393)))</f>
        <v/>
      </c>
      <c r="M393" s="9" t="str">
        <f aca="false">IF(OR(H393="",I393="",H393=I393),"",ROUNDDOWN(Config!$B$11/ABS(H393-I393),0))</f>
        <v/>
      </c>
    </row>
    <row r="394" customFormat="false" ht="15" hidden="false" customHeight="false" outlineLevel="0" collapsed="false">
      <c r="L394" s="20" t="str">
        <f aca="false">IF(OR(H394="",I394="",J394=""),"",IF(H394=I394,"",ABS(J394-H394)/ABS(H394-I394)))</f>
        <v/>
      </c>
      <c r="M394" s="9" t="str">
        <f aca="false">IF(OR(H394="",I394="",H394=I394),"",ROUNDDOWN(Config!$B$11/ABS(H394-I394),0))</f>
        <v/>
      </c>
    </row>
    <row r="395" customFormat="false" ht="15" hidden="false" customHeight="false" outlineLevel="0" collapsed="false">
      <c r="L395" s="20" t="str">
        <f aca="false">IF(OR(H395="",I395="",J395=""),"",IF(H395=I395,"",ABS(J395-H395)/ABS(H395-I395)))</f>
        <v/>
      </c>
      <c r="M395" s="9" t="str">
        <f aca="false">IF(OR(H395="",I395="",H395=I395),"",ROUNDDOWN(Config!$B$11/ABS(H395-I395),0))</f>
        <v/>
      </c>
    </row>
    <row r="396" customFormat="false" ht="15" hidden="false" customHeight="false" outlineLevel="0" collapsed="false">
      <c r="L396" s="20" t="str">
        <f aca="false">IF(OR(H396="",I396="",J396=""),"",IF(H396=I396,"",ABS(J396-H396)/ABS(H396-I396)))</f>
        <v/>
      </c>
      <c r="M396" s="9" t="str">
        <f aca="false">IF(OR(H396="",I396="",H396=I396),"",ROUNDDOWN(Config!$B$11/ABS(H396-I396),0))</f>
        <v/>
      </c>
    </row>
    <row r="397" customFormat="false" ht="15" hidden="false" customHeight="false" outlineLevel="0" collapsed="false">
      <c r="L397" s="20" t="str">
        <f aca="false">IF(OR(H397="",I397="",J397=""),"",IF(H397=I397,"",ABS(J397-H397)/ABS(H397-I397)))</f>
        <v/>
      </c>
      <c r="M397" s="9" t="str">
        <f aca="false">IF(OR(H397="",I397="",H397=I397),"",ROUNDDOWN(Config!$B$11/ABS(H397-I397),0))</f>
        <v/>
      </c>
    </row>
    <row r="398" customFormat="false" ht="15" hidden="false" customHeight="false" outlineLevel="0" collapsed="false">
      <c r="L398" s="20" t="str">
        <f aca="false">IF(OR(H398="",I398="",J398=""),"",IF(H398=I398,"",ABS(J398-H398)/ABS(H398-I398)))</f>
        <v/>
      </c>
      <c r="M398" s="9" t="str">
        <f aca="false">IF(OR(H398="",I398="",H398=I398),"",ROUNDDOWN(Config!$B$11/ABS(H398-I398),0))</f>
        <v/>
      </c>
    </row>
    <row r="399" customFormat="false" ht="15" hidden="false" customHeight="false" outlineLevel="0" collapsed="false">
      <c r="L399" s="20" t="str">
        <f aca="false">IF(OR(H399="",I399="",J399=""),"",IF(H399=I399,"",ABS(J399-H399)/ABS(H399-I399)))</f>
        <v/>
      </c>
      <c r="M399" s="9" t="str">
        <f aca="false">IF(OR(H399="",I399="",H399=I399),"",ROUNDDOWN(Config!$B$11/ABS(H399-I399),0))</f>
        <v/>
      </c>
    </row>
    <row r="400" customFormat="false" ht="15" hidden="false" customHeight="false" outlineLevel="0" collapsed="false">
      <c r="L400" s="20" t="str">
        <f aca="false">IF(OR(H400="",I400="",J400=""),"",IF(H400=I400,"",ABS(J400-H400)/ABS(H400-I400)))</f>
        <v/>
      </c>
      <c r="M400" s="9" t="str">
        <f aca="false">IF(OR(H400="",I400="",H400=I400),"",ROUNDDOWN(Config!$B$11/ABS(H400-I400),0))</f>
        <v/>
      </c>
    </row>
    <row r="401" customFormat="false" ht="15" hidden="false" customHeight="false" outlineLevel="0" collapsed="false">
      <c r="L401" s="20" t="str">
        <f aca="false">IF(OR(H401="",I401="",J401=""),"",IF(H401=I401,"",ABS(J401-H401)/ABS(H401-I401)))</f>
        <v/>
      </c>
      <c r="M401" s="9" t="str">
        <f aca="false">IF(OR(H401="",I401="",H401=I401),"",ROUNDDOWN(Config!$B$11/ABS(H401-I401),0))</f>
        <v/>
      </c>
    </row>
    <row r="402" customFormat="false" ht="15" hidden="false" customHeight="false" outlineLevel="0" collapsed="false">
      <c r="L402" s="20" t="str">
        <f aca="false">IF(OR(H402="",I402="",J402=""),"",IF(H402=I402,"",ABS(J402-H402)/ABS(H402-I402)))</f>
        <v/>
      </c>
      <c r="M402" s="9" t="str">
        <f aca="false">IF(OR(H402="",I402="",H402=I402),"",ROUNDDOWN(Config!$B$11/ABS(H402-I402),0))</f>
        <v/>
      </c>
    </row>
    <row r="403" customFormat="false" ht="15" hidden="false" customHeight="false" outlineLevel="0" collapsed="false">
      <c r="L403" s="20" t="str">
        <f aca="false">IF(OR(H403="",I403="",J403=""),"",IF(H403=I403,"",ABS(J403-H403)/ABS(H403-I403)))</f>
        <v/>
      </c>
      <c r="M403" s="9" t="str">
        <f aca="false">IF(OR(H403="",I403="",H403=I403),"",ROUNDDOWN(Config!$B$11/ABS(H403-I403),0))</f>
        <v/>
      </c>
    </row>
    <row r="404" customFormat="false" ht="15" hidden="false" customHeight="false" outlineLevel="0" collapsed="false">
      <c r="L404" s="20" t="str">
        <f aca="false">IF(OR(H404="",I404="",J404=""),"",IF(H404=I404,"",ABS(J404-H404)/ABS(H404-I404)))</f>
        <v/>
      </c>
      <c r="M404" s="9" t="str">
        <f aca="false">IF(OR(H404="",I404="",H404=I404),"",ROUNDDOWN(Config!$B$11/ABS(H404-I404),0))</f>
        <v/>
      </c>
    </row>
    <row r="405" customFormat="false" ht="15" hidden="false" customHeight="false" outlineLevel="0" collapsed="false">
      <c r="L405" s="20" t="str">
        <f aca="false">IF(OR(H405="",I405="",J405=""),"",IF(H405=I405,"",ABS(J405-H405)/ABS(H405-I405)))</f>
        <v/>
      </c>
      <c r="M405" s="9" t="str">
        <f aca="false">IF(OR(H405="",I405="",H405=I405),"",ROUNDDOWN(Config!$B$11/ABS(H405-I405),0))</f>
        <v/>
      </c>
    </row>
    <row r="406" customFormat="false" ht="15" hidden="false" customHeight="false" outlineLevel="0" collapsed="false">
      <c r="L406" s="20" t="str">
        <f aca="false">IF(OR(H406="",I406="",J406=""),"",IF(H406=I406,"",ABS(J406-H406)/ABS(H406-I406)))</f>
        <v/>
      </c>
      <c r="M406" s="9" t="str">
        <f aca="false">IF(OR(H406="",I406="",H406=I406),"",ROUNDDOWN(Config!$B$11/ABS(H406-I406),0))</f>
        <v/>
      </c>
    </row>
    <row r="407" customFormat="false" ht="15" hidden="false" customHeight="false" outlineLevel="0" collapsed="false">
      <c r="L407" s="20" t="str">
        <f aca="false">IF(OR(H407="",I407="",J407=""),"",IF(H407=I407,"",ABS(J407-H407)/ABS(H407-I407)))</f>
        <v/>
      </c>
      <c r="M407" s="9" t="str">
        <f aca="false">IF(OR(H407="",I407="",H407=I407),"",ROUNDDOWN(Config!$B$11/ABS(H407-I407),0))</f>
        <v/>
      </c>
    </row>
    <row r="408" customFormat="false" ht="15" hidden="false" customHeight="false" outlineLevel="0" collapsed="false">
      <c r="L408" s="20" t="str">
        <f aca="false">IF(OR(H408="",I408="",J408=""),"",IF(H408=I408,"",ABS(J408-H408)/ABS(H408-I408)))</f>
        <v/>
      </c>
      <c r="M408" s="9" t="str">
        <f aca="false">IF(OR(H408="",I408="",H408=I408),"",ROUNDDOWN(Config!$B$11/ABS(H408-I408),0))</f>
        <v/>
      </c>
    </row>
    <row r="409" customFormat="false" ht="15" hidden="false" customHeight="false" outlineLevel="0" collapsed="false">
      <c r="L409" s="20" t="str">
        <f aca="false">IF(OR(H409="",I409="",J409=""),"",IF(H409=I409,"",ABS(J409-H409)/ABS(H409-I409)))</f>
        <v/>
      </c>
      <c r="M409" s="9" t="str">
        <f aca="false">IF(OR(H409="",I409="",H409=I409),"",ROUNDDOWN(Config!$B$11/ABS(H409-I409),0))</f>
        <v/>
      </c>
    </row>
    <row r="410" customFormat="false" ht="15" hidden="false" customHeight="false" outlineLevel="0" collapsed="false">
      <c r="L410" s="20" t="str">
        <f aca="false">IF(OR(H410="",I410="",J410=""),"",IF(H410=I410,"",ABS(J410-H410)/ABS(H410-I410)))</f>
        <v/>
      </c>
      <c r="M410" s="9" t="str">
        <f aca="false">IF(OR(H410="",I410="",H410=I410),"",ROUNDDOWN(Config!$B$11/ABS(H410-I410),0))</f>
        <v/>
      </c>
    </row>
    <row r="411" customFormat="false" ht="15" hidden="false" customHeight="false" outlineLevel="0" collapsed="false">
      <c r="L411" s="20" t="str">
        <f aca="false">IF(OR(H411="",I411="",J411=""),"",IF(H411=I411,"",ABS(J411-H411)/ABS(H411-I411)))</f>
        <v/>
      </c>
      <c r="M411" s="9" t="str">
        <f aca="false">IF(OR(H411="",I411="",H411=I411),"",ROUNDDOWN(Config!$B$11/ABS(H411-I411),0))</f>
        <v/>
      </c>
    </row>
    <row r="412" customFormat="false" ht="15" hidden="false" customHeight="false" outlineLevel="0" collapsed="false">
      <c r="L412" s="20" t="str">
        <f aca="false">IF(OR(H412="",I412="",J412=""),"",IF(H412=I412,"",ABS(J412-H412)/ABS(H412-I412)))</f>
        <v/>
      </c>
      <c r="M412" s="9" t="str">
        <f aca="false">IF(OR(H412="",I412="",H412=I412),"",ROUNDDOWN(Config!$B$11/ABS(H412-I412),0))</f>
        <v/>
      </c>
    </row>
    <row r="413" customFormat="false" ht="15" hidden="false" customHeight="false" outlineLevel="0" collapsed="false">
      <c r="L413" s="20" t="str">
        <f aca="false">IF(OR(H413="",I413="",J413=""),"",IF(H413=I413,"",ABS(J413-H413)/ABS(H413-I413)))</f>
        <v/>
      </c>
      <c r="M413" s="9" t="str">
        <f aca="false">IF(OR(H413="",I413="",H413=I413),"",ROUNDDOWN(Config!$B$11/ABS(H413-I413),0))</f>
        <v/>
      </c>
    </row>
    <row r="414" customFormat="false" ht="15" hidden="false" customHeight="false" outlineLevel="0" collapsed="false">
      <c r="L414" s="20" t="str">
        <f aca="false">IF(OR(H414="",I414="",J414=""),"",IF(H414=I414,"",ABS(J414-H414)/ABS(H414-I414)))</f>
        <v/>
      </c>
      <c r="M414" s="9" t="str">
        <f aca="false">IF(OR(H414="",I414="",H414=I414),"",ROUNDDOWN(Config!$B$11/ABS(H414-I414),0))</f>
        <v/>
      </c>
    </row>
    <row r="415" customFormat="false" ht="15" hidden="false" customHeight="false" outlineLevel="0" collapsed="false">
      <c r="L415" s="20" t="str">
        <f aca="false">IF(OR(H415="",I415="",J415=""),"",IF(H415=I415,"",ABS(J415-H415)/ABS(H415-I415)))</f>
        <v/>
      </c>
      <c r="M415" s="9" t="str">
        <f aca="false">IF(OR(H415="",I415="",H415=I415),"",ROUNDDOWN(Config!$B$11/ABS(H415-I415),0))</f>
        <v/>
      </c>
    </row>
    <row r="416" customFormat="false" ht="15" hidden="false" customHeight="false" outlineLevel="0" collapsed="false">
      <c r="L416" s="20" t="str">
        <f aca="false">IF(OR(H416="",I416="",J416=""),"",IF(H416=I416,"",ABS(J416-H416)/ABS(H416-I416)))</f>
        <v/>
      </c>
      <c r="M416" s="9" t="str">
        <f aca="false">IF(OR(H416="",I416="",H416=I416),"",ROUNDDOWN(Config!$B$11/ABS(H416-I416),0))</f>
        <v/>
      </c>
    </row>
    <row r="417" customFormat="false" ht="15" hidden="false" customHeight="false" outlineLevel="0" collapsed="false">
      <c r="L417" s="20" t="str">
        <f aca="false">IF(OR(H417="",I417="",J417=""),"",IF(H417=I417,"",ABS(J417-H417)/ABS(H417-I417)))</f>
        <v/>
      </c>
      <c r="M417" s="9" t="str">
        <f aca="false">IF(OR(H417="",I417="",H417=I417),"",ROUNDDOWN(Config!$B$11/ABS(H417-I417),0))</f>
        <v/>
      </c>
    </row>
    <row r="418" customFormat="false" ht="15" hidden="false" customHeight="false" outlineLevel="0" collapsed="false">
      <c r="L418" s="20" t="str">
        <f aca="false">IF(OR(H418="",I418="",J418=""),"",IF(H418=I418,"",ABS(J418-H418)/ABS(H418-I418)))</f>
        <v/>
      </c>
      <c r="M418" s="9" t="str">
        <f aca="false">IF(OR(H418="",I418="",H418=I418),"",ROUNDDOWN(Config!$B$11/ABS(H418-I418),0))</f>
        <v/>
      </c>
    </row>
    <row r="419" customFormat="false" ht="15" hidden="false" customHeight="false" outlineLevel="0" collapsed="false">
      <c r="L419" s="20" t="str">
        <f aca="false">IF(OR(H419="",I419="",J419=""),"",IF(H419=I419,"",ABS(J419-H419)/ABS(H419-I419)))</f>
        <v/>
      </c>
      <c r="M419" s="9" t="str">
        <f aca="false">IF(OR(H419="",I419="",H419=I419),"",ROUNDDOWN(Config!$B$11/ABS(H419-I419),0))</f>
        <v/>
      </c>
    </row>
    <row r="420" customFormat="false" ht="15" hidden="false" customHeight="false" outlineLevel="0" collapsed="false">
      <c r="L420" s="20" t="str">
        <f aca="false">IF(OR(H420="",I420="",J420=""),"",IF(H420=I420,"",ABS(J420-H420)/ABS(H420-I420)))</f>
        <v/>
      </c>
      <c r="M420" s="9" t="str">
        <f aca="false">IF(OR(H420="",I420="",H420=I420),"",ROUNDDOWN(Config!$B$11/ABS(H420-I420),0))</f>
        <v/>
      </c>
    </row>
    <row r="421" customFormat="false" ht="15" hidden="false" customHeight="false" outlineLevel="0" collapsed="false">
      <c r="L421" s="20" t="str">
        <f aca="false">IF(OR(H421="",I421="",J421=""),"",IF(H421=I421,"",ABS(J421-H421)/ABS(H421-I421)))</f>
        <v/>
      </c>
      <c r="M421" s="9" t="str">
        <f aca="false">IF(OR(H421="",I421="",H421=I421),"",ROUNDDOWN(Config!$B$11/ABS(H421-I421),0))</f>
        <v/>
      </c>
    </row>
    <row r="422" customFormat="false" ht="15" hidden="false" customHeight="false" outlineLevel="0" collapsed="false">
      <c r="L422" s="20" t="str">
        <f aca="false">IF(OR(H422="",I422="",J422=""),"",IF(H422=I422,"",ABS(J422-H422)/ABS(H422-I422)))</f>
        <v/>
      </c>
      <c r="M422" s="9" t="str">
        <f aca="false">IF(OR(H422="",I422="",H422=I422),"",ROUNDDOWN(Config!$B$11/ABS(H422-I422),0))</f>
        <v/>
      </c>
    </row>
    <row r="423" customFormat="false" ht="15" hidden="false" customHeight="false" outlineLevel="0" collapsed="false">
      <c r="L423" s="20" t="str">
        <f aca="false">IF(OR(H423="",I423="",J423=""),"",IF(H423=I423,"",ABS(J423-H423)/ABS(H423-I423)))</f>
        <v/>
      </c>
      <c r="M423" s="9" t="str">
        <f aca="false">IF(OR(H423="",I423="",H423=I423),"",ROUNDDOWN(Config!$B$11/ABS(H423-I423),0))</f>
        <v/>
      </c>
    </row>
    <row r="424" customFormat="false" ht="15" hidden="false" customHeight="false" outlineLevel="0" collapsed="false">
      <c r="L424" s="20" t="str">
        <f aca="false">IF(OR(H424="",I424="",J424=""),"",IF(H424=I424,"",ABS(J424-H424)/ABS(H424-I424)))</f>
        <v/>
      </c>
      <c r="M424" s="9" t="str">
        <f aca="false">IF(OR(H424="",I424="",H424=I424),"",ROUNDDOWN(Config!$B$11/ABS(H424-I424),0))</f>
        <v/>
      </c>
    </row>
    <row r="425" customFormat="false" ht="15" hidden="false" customHeight="false" outlineLevel="0" collapsed="false">
      <c r="L425" s="20" t="str">
        <f aca="false">IF(OR(H425="",I425="",J425=""),"",IF(H425=I425,"",ABS(J425-H425)/ABS(H425-I425)))</f>
        <v/>
      </c>
      <c r="M425" s="9" t="str">
        <f aca="false">IF(OR(H425="",I425="",H425=I425),"",ROUNDDOWN(Config!$B$11/ABS(H425-I425),0))</f>
        <v/>
      </c>
    </row>
    <row r="426" customFormat="false" ht="15" hidden="false" customHeight="false" outlineLevel="0" collapsed="false">
      <c r="L426" s="20" t="str">
        <f aca="false">IF(OR(H426="",I426="",J426=""),"",IF(H426=I426,"",ABS(J426-H426)/ABS(H426-I426)))</f>
        <v/>
      </c>
      <c r="M426" s="9" t="str">
        <f aca="false">IF(OR(H426="",I426="",H426=I426),"",ROUNDDOWN(Config!$B$11/ABS(H426-I426),0))</f>
        <v/>
      </c>
    </row>
    <row r="427" customFormat="false" ht="15" hidden="false" customHeight="false" outlineLevel="0" collapsed="false">
      <c r="L427" s="20" t="str">
        <f aca="false">IF(OR(H427="",I427="",J427=""),"",IF(H427=I427,"",ABS(J427-H427)/ABS(H427-I427)))</f>
        <v/>
      </c>
      <c r="M427" s="9" t="str">
        <f aca="false">IF(OR(H427="",I427="",H427=I427),"",ROUNDDOWN(Config!$B$11/ABS(H427-I427),0))</f>
        <v/>
      </c>
    </row>
    <row r="428" customFormat="false" ht="15" hidden="false" customHeight="false" outlineLevel="0" collapsed="false">
      <c r="L428" s="20" t="str">
        <f aca="false">IF(OR(H428="",I428="",J428=""),"",IF(H428=I428,"",ABS(J428-H428)/ABS(H428-I428)))</f>
        <v/>
      </c>
      <c r="M428" s="9" t="str">
        <f aca="false">IF(OR(H428="",I428="",H428=I428),"",ROUNDDOWN(Config!$B$11/ABS(H428-I428),0))</f>
        <v/>
      </c>
    </row>
    <row r="429" customFormat="false" ht="15" hidden="false" customHeight="false" outlineLevel="0" collapsed="false">
      <c r="L429" s="20" t="str">
        <f aca="false">IF(OR(H429="",I429="",J429=""),"",IF(H429=I429,"",ABS(J429-H429)/ABS(H429-I429)))</f>
        <v/>
      </c>
      <c r="M429" s="9" t="str">
        <f aca="false">IF(OR(H429="",I429="",H429=I429),"",ROUNDDOWN(Config!$B$11/ABS(H429-I429),0))</f>
        <v/>
      </c>
    </row>
    <row r="430" customFormat="false" ht="15" hidden="false" customHeight="false" outlineLevel="0" collapsed="false">
      <c r="L430" s="20" t="str">
        <f aca="false">IF(OR(H430="",I430="",J430=""),"",IF(H430=I430,"",ABS(J430-H430)/ABS(H430-I430)))</f>
        <v/>
      </c>
      <c r="M430" s="9" t="str">
        <f aca="false">IF(OR(H430="",I430="",H430=I430),"",ROUNDDOWN(Config!$B$11/ABS(H430-I430),0))</f>
        <v/>
      </c>
    </row>
    <row r="431" customFormat="false" ht="15" hidden="false" customHeight="false" outlineLevel="0" collapsed="false">
      <c r="L431" s="20" t="str">
        <f aca="false">IF(OR(H431="",I431="",J431=""),"",IF(H431=I431,"",ABS(J431-H431)/ABS(H431-I431)))</f>
        <v/>
      </c>
      <c r="M431" s="9" t="str">
        <f aca="false">IF(OR(H431="",I431="",H431=I431),"",ROUNDDOWN(Config!$B$11/ABS(H431-I431),0))</f>
        <v/>
      </c>
    </row>
    <row r="432" customFormat="false" ht="15" hidden="false" customHeight="false" outlineLevel="0" collapsed="false">
      <c r="L432" s="20" t="str">
        <f aca="false">IF(OR(H432="",I432="",J432=""),"",IF(H432=I432,"",ABS(J432-H432)/ABS(H432-I432)))</f>
        <v/>
      </c>
      <c r="M432" s="9" t="str">
        <f aca="false">IF(OR(H432="",I432="",H432=I432),"",ROUNDDOWN(Config!$B$11/ABS(H432-I432),0))</f>
        <v/>
      </c>
    </row>
    <row r="433" customFormat="false" ht="15" hidden="false" customHeight="false" outlineLevel="0" collapsed="false">
      <c r="L433" s="20" t="str">
        <f aca="false">IF(OR(H433="",I433="",J433=""),"",IF(H433=I433,"",ABS(J433-H433)/ABS(H433-I433)))</f>
        <v/>
      </c>
      <c r="M433" s="9" t="str">
        <f aca="false">IF(OR(H433="",I433="",H433=I433),"",ROUNDDOWN(Config!$B$11/ABS(H433-I433),0))</f>
        <v/>
      </c>
    </row>
    <row r="434" customFormat="false" ht="15" hidden="false" customHeight="false" outlineLevel="0" collapsed="false">
      <c r="L434" s="20" t="str">
        <f aca="false">IF(OR(H434="",I434="",J434=""),"",IF(H434=I434,"",ABS(J434-H434)/ABS(H434-I434)))</f>
        <v/>
      </c>
      <c r="M434" s="9" t="str">
        <f aca="false">IF(OR(H434="",I434="",H434=I434),"",ROUNDDOWN(Config!$B$11/ABS(H434-I434),0))</f>
        <v/>
      </c>
    </row>
    <row r="435" customFormat="false" ht="15" hidden="false" customHeight="false" outlineLevel="0" collapsed="false">
      <c r="L435" s="20" t="str">
        <f aca="false">IF(OR(H435="",I435="",J435=""),"",IF(H435=I435,"",ABS(J435-H435)/ABS(H435-I435)))</f>
        <v/>
      </c>
      <c r="M435" s="9" t="str">
        <f aca="false">IF(OR(H435="",I435="",H435=I435),"",ROUNDDOWN(Config!$B$11/ABS(H435-I435),0))</f>
        <v/>
      </c>
    </row>
    <row r="436" customFormat="false" ht="15" hidden="false" customHeight="false" outlineLevel="0" collapsed="false">
      <c r="L436" s="20" t="str">
        <f aca="false">IF(OR(H436="",I436="",J436=""),"",IF(H436=I436,"",ABS(J436-H436)/ABS(H436-I436)))</f>
        <v/>
      </c>
      <c r="M436" s="9" t="str">
        <f aca="false">IF(OR(H436="",I436="",H436=I436),"",ROUNDDOWN(Config!$B$11/ABS(H436-I436),0))</f>
        <v/>
      </c>
    </row>
    <row r="437" customFormat="false" ht="15" hidden="false" customHeight="false" outlineLevel="0" collapsed="false">
      <c r="L437" s="20" t="str">
        <f aca="false">IF(OR(H437="",I437="",J437=""),"",IF(H437=I437,"",ABS(J437-H437)/ABS(H437-I437)))</f>
        <v/>
      </c>
      <c r="M437" s="9" t="str">
        <f aca="false">IF(OR(H437="",I437="",H437=I437),"",ROUNDDOWN(Config!$B$11/ABS(H437-I437),0))</f>
        <v/>
      </c>
    </row>
    <row r="438" customFormat="false" ht="15" hidden="false" customHeight="false" outlineLevel="0" collapsed="false">
      <c r="L438" s="20" t="str">
        <f aca="false">IF(OR(H438="",I438="",J438=""),"",IF(H438=I438,"",ABS(J438-H438)/ABS(H438-I438)))</f>
        <v/>
      </c>
      <c r="M438" s="9" t="str">
        <f aca="false">IF(OR(H438="",I438="",H438=I438),"",ROUNDDOWN(Config!$B$11/ABS(H438-I438),0))</f>
        <v/>
      </c>
    </row>
    <row r="439" customFormat="false" ht="15" hidden="false" customHeight="false" outlineLevel="0" collapsed="false">
      <c r="L439" s="20" t="str">
        <f aca="false">IF(OR(H439="",I439="",J439=""),"",IF(H439=I439,"",ABS(J439-H439)/ABS(H439-I439)))</f>
        <v/>
      </c>
      <c r="M439" s="9" t="str">
        <f aca="false">IF(OR(H439="",I439="",H439=I439),"",ROUNDDOWN(Config!$B$11/ABS(H439-I439),0))</f>
        <v/>
      </c>
    </row>
    <row r="440" customFormat="false" ht="15" hidden="false" customHeight="false" outlineLevel="0" collapsed="false">
      <c r="L440" s="20" t="str">
        <f aca="false">IF(OR(H440="",I440="",J440=""),"",IF(H440=I440,"",ABS(J440-H440)/ABS(H440-I440)))</f>
        <v/>
      </c>
      <c r="M440" s="9" t="str">
        <f aca="false">IF(OR(H440="",I440="",H440=I440),"",ROUNDDOWN(Config!$B$11/ABS(H440-I440),0))</f>
        <v/>
      </c>
    </row>
    <row r="441" customFormat="false" ht="15" hidden="false" customHeight="false" outlineLevel="0" collapsed="false">
      <c r="L441" s="20" t="str">
        <f aca="false">IF(OR(H441="",I441="",J441=""),"",IF(H441=I441,"",ABS(J441-H441)/ABS(H441-I441)))</f>
        <v/>
      </c>
      <c r="M441" s="9" t="str">
        <f aca="false">IF(OR(H441="",I441="",H441=I441),"",ROUNDDOWN(Config!$B$11/ABS(H441-I441),0))</f>
        <v/>
      </c>
    </row>
    <row r="442" customFormat="false" ht="15" hidden="false" customHeight="false" outlineLevel="0" collapsed="false">
      <c r="L442" s="20" t="str">
        <f aca="false">IF(OR(H442="",I442="",J442=""),"",IF(H442=I442,"",ABS(J442-H442)/ABS(H442-I442)))</f>
        <v/>
      </c>
      <c r="M442" s="9" t="str">
        <f aca="false">IF(OR(H442="",I442="",H442=I442),"",ROUNDDOWN(Config!$B$11/ABS(H442-I442),0))</f>
        <v/>
      </c>
    </row>
    <row r="443" customFormat="false" ht="15" hidden="false" customHeight="false" outlineLevel="0" collapsed="false">
      <c r="L443" s="20" t="str">
        <f aca="false">IF(OR(H443="",I443="",J443=""),"",IF(H443=I443,"",ABS(J443-H443)/ABS(H443-I443)))</f>
        <v/>
      </c>
      <c r="M443" s="9" t="str">
        <f aca="false">IF(OR(H443="",I443="",H443=I443),"",ROUNDDOWN(Config!$B$11/ABS(H443-I443),0))</f>
        <v/>
      </c>
    </row>
    <row r="444" customFormat="false" ht="15" hidden="false" customHeight="false" outlineLevel="0" collapsed="false">
      <c r="L444" s="20" t="str">
        <f aca="false">IF(OR(H444="",I444="",J444=""),"",IF(H444=I444,"",ABS(J444-H444)/ABS(H444-I444)))</f>
        <v/>
      </c>
      <c r="M444" s="9" t="str">
        <f aca="false">IF(OR(H444="",I444="",H444=I444),"",ROUNDDOWN(Config!$B$11/ABS(H444-I444),0))</f>
        <v/>
      </c>
    </row>
    <row r="445" customFormat="false" ht="15" hidden="false" customHeight="false" outlineLevel="0" collapsed="false">
      <c r="L445" s="20" t="str">
        <f aca="false">IF(OR(H445="",I445="",J445=""),"",IF(H445=I445,"",ABS(J445-H445)/ABS(H445-I445)))</f>
        <v/>
      </c>
      <c r="M445" s="9" t="str">
        <f aca="false">IF(OR(H445="",I445="",H445=I445),"",ROUNDDOWN(Config!$B$11/ABS(H445-I445),0))</f>
        <v/>
      </c>
    </row>
    <row r="446" customFormat="false" ht="15" hidden="false" customHeight="false" outlineLevel="0" collapsed="false">
      <c r="L446" s="20" t="str">
        <f aca="false">IF(OR(H446="",I446="",J446=""),"",IF(H446=I446,"",ABS(J446-H446)/ABS(H446-I446)))</f>
        <v/>
      </c>
      <c r="M446" s="9" t="str">
        <f aca="false">IF(OR(H446="",I446="",H446=I446),"",ROUNDDOWN(Config!$B$11/ABS(H446-I446),0))</f>
        <v/>
      </c>
    </row>
    <row r="447" customFormat="false" ht="15" hidden="false" customHeight="false" outlineLevel="0" collapsed="false">
      <c r="L447" s="20" t="str">
        <f aca="false">IF(OR(H447="",I447="",J447=""),"",IF(H447=I447,"",ABS(J447-H447)/ABS(H447-I447)))</f>
        <v/>
      </c>
      <c r="M447" s="9" t="str">
        <f aca="false">IF(OR(H447="",I447="",H447=I447),"",ROUNDDOWN(Config!$B$11/ABS(H447-I447),0))</f>
        <v/>
      </c>
    </row>
    <row r="448" customFormat="false" ht="15" hidden="false" customHeight="false" outlineLevel="0" collapsed="false">
      <c r="L448" s="20" t="str">
        <f aca="false">IF(OR(H448="",I448="",J448=""),"",IF(H448=I448,"",ABS(J448-H448)/ABS(H448-I448)))</f>
        <v/>
      </c>
      <c r="M448" s="9" t="str">
        <f aca="false">IF(OR(H448="",I448="",H448=I448),"",ROUNDDOWN(Config!$B$11/ABS(H448-I448),0))</f>
        <v/>
      </c>
    </row>
    <row r="449" customFormat="false" ht="15" hidden="false" customHeight="false" outlineLevel="0" collapsed="false">
      <c r="L449" s="20" t="str">
        <f aca="false">IF(OR(H449="",I449="",J449=""),"",IF(H449=I449,"",ABS(J449-H449)/ABS(H449-I449)))</f>
        <v/>
      </c>
      <c r="M449" s="9" t="str">
        <f aca="false">IF(OR(H449="",I449="",H449=I449),"",ROUNDDOWN(Config!$B$11/ABS(H449-I449),0))</f>
        <v/>
      </c>
    </row>
    <row r="450" customFormat="false" ht="15" hidden="false" customHeight="false" outlineLevel="0" collapsed="false">
      <c r="L450" s="20" t="str">
        <f aca="false">IF(OR(H450="",I450="",J450=""),"",IF(H450=I450,"",ABS(J450-H450)/ABS(H450-I450)))</f>
        <v/>
      </c>
      <c r="M450" s="9" t="str">
        <f aca="false">IF(OR(H450="",I450="",H450=I450),"",ROUNDDOWN(Config!$B$11/ABS(H450-I450),0))</f>
        <v/>
      </c>
    </row>
    <row r="451" customFormat="false" ht="15" hidden="false" customHeight="false" outlineLevel="0" collapsed="false">
      <c r="L451" s="20" t="str">
        <f aca="false">IF(OR(H451="",I451="",J451=""),"",IF(H451=I451,"",ABS(J451-H451)/ABS(H451-I451)))</f>
        <v/>
      </c>
      <c r="M451" s="9" t="str">
        <f aca="false">IF(OR(H451="",I451="",H451=I451),"",ROUNDDOWN(Config!$B$11/ABS(H451-I451),0))</f>
        <v/>
      </c>
    </row>
    <row r="452" customFormat="false" ht="15" hidden="false" customHeight="false" outlineLevel="0" collapsed="false">
      <c r="L452" s="20" t="str">
        <f aca="false">IF(OR(H452="",I452="",J452=""),"",IF(H452=I452,"",ABS(J452-H452)/ABS(H452-I452)))</f>
        <v/>
      </c>
      <c r="M452" s="9" t="str">
        <f aca="false">IF(OR(H452="",I452="",H452=I452),"",ROUNDDOWN(Config!$B$11/ABS(H452-I452),0))</f>
        <v/>
      </c>
    </row>
    <row r="453" customFormat="false" ht="15" hidden="false" customHeight="false" outlineLevel="0" collapsed="false">
      <c r="L453" s="20" t="str">
        <f aca="false">IF(OR(H453="",I453="",J453=""),"",IF(H453=I453,"",ABS(J453-H453)/ABS(H453-I453)))</f>
        <v/>
      </c>
      <c r="M453" s="9" t="str">
        <f aca="false">IF(OR(H453="",I453="",H453=I453),"",ROUNDDOWN(Config!$B$11/ABS(H453-I453),0))</f>
        <v/>
      </c>
    </row>
    <row r="454" customFormat="false" ht="15" hidden="false" customHeight="false" outlineLevel="0" collapsed="false">
      <c r="L454" s="20" t="str">
        <f aca="false">IF(OR(H454="",I454="",J454=""),"",IF(H454=I454,"",ABS(J454-H454)/ABS(H454-I454)))</f>
        <v/>
      </c>
      <c r="M454" s="9" t="str">
        <f aca="false">IF(OR(H454="",I454="",H454=I454),"",ROUNDDOWN(Config!$B$11/ABS(H454-I454),0))</f>
        <v/>
      </c>
    </row>
    <row r="455" customFormat="false" ht="15" hidden="false" customHeight="false" outlineLevel="0" collapsed="false">
      <c r="L455" s="20" t="str">
        <f aca="false">IF(OR(H455="",I455="",J455=""),"",IF(H455=I455,"",ABS(J455-H455)/ABS(H455-I455)))</f>
        <v/>
      </c>
      <c r="M455" s="9" t="str">
        <f aca="false">IF(OR(H455="",I455="",H455=I455),"",ROUNDDOWN(Config!$B$11/ABS(H455-I455),0))</f>
        <v/>
      </c>
    </row>
    <row r="456" customFormat="false" ht="15" hidden="false" customHeight="false" outlineLevel="0" collapsed="false">
      <c r="L456" s="20" t="str">
        <f aca="false">IF(OR(H456="",I456="",J456=""),"",IF(H456=I456,"",ABS(J456-H456)/ABS(H456-I456)))</f>
        <v/>
      </c>
      <c r="M456" s="9" t="str">
        <f aca="false">IF(OR(H456="",I456="",H456=I456),"",ROUNDDOWN(Config!$B$11/ABS(H456-I456),0))</f>
        <v/>
      </c>
    </row>
    <row r="457" customFormat="false" ht="15" hidden="false" customHeight="false" outlineLevel="0" collapsed="false">
      <c r="L457" s="20" t="str">
        <f aca="false">IF(OR(H457="",I457="",J457=""),"",IF(H457=I457,"",ABS(J457-H457)/ABS(H457-I457)))</f>
        <v/>
      </c>
      <c r="M457" s="9" t="str">
        <f aca="false">IF(OR(H457="",I457="",H457=I457),"",ROUNDDOWN(Config!$B$11/ABS(H457-I457),0))</f>
        <v/>
      </c>
    </row>
    <row r="458" customFormat="false" ht="15" hidden="false" customHeight="false" outlineLevel="0" collapsed="false">
      <c r="L458" s="20" t="str">
        <f aca="false">IF(OR(H458="",I458="",J458=""),"",IF(H458=I458,"",ABS(J458-H458)/ABS(H458-I458)))</f>
        <v/>
      </c>
      <c r="M458" s="9" t="str">
        <f aca="false">IF(OR(H458="",I458="",H458=I458),"",ROUNDDOWN(Config!$B$11/ABS(H458-I458),0))</f>
        <v/>
      </c>
    </row>
    <row r="459" customFormat="false" ht="15" hidden="false" customHeight="false" outlineLevel="0" collapsed="false">
      <c r="L459" s="20" t="str">
        <f aca="false">IF(OR(H459="",I459="",J459=""),"",IF(H459=I459,"",ABS(J459-H459)/ABS(H459-I459)))</f>
        <v/>
      </c>
      <c r="M459" s="9" t="str">
        <f aca="false">IF(OR(H459="",I459="",H459=I459),"",ROUNDDOWN(Config!$B$11/ABS(H459-I459),0))</f>
        <v/>
      </c>
    </row>
    <row r="460" customFormat="false" ht="15" hidden="false" customHeight="false" outlineLevel="0" collapsed="false">
      <c r="L460" s="20" t="str">
        <f aca="false">IF(OR(H460="",I460="",J460=""),"",IF(H460=I460,"",ABS(J460-H460)/ABS(H460-I460)))</f>
        <v/>
      </c>
      <c r="M460" s="9" t="str">
        <f aca="false">IF(OR(H460="",I460="",H460=I460),"",ROUNDDOWN(Config!$B$11/ABS(H460-I460),0))</f>
        <v/>
      </c>
    </row>
    <row r="461" customFormat="false" ht="15" hidden="false" customHeight="false" outlineLevel="0" collapsed="false">
      <c r="L461" s="20" t="str">
        <f aca="false">IF(OR(H461="",I461="",J461=""),"",IF(H461=I461,"",ABS(J461-H461)/ABS(H461-I461)))</f>
        <v/>
      </c>
      <c r="M461" s="9" t="str">
        <f aca="false">IF(OR(H461="",I461="",H461=I461),"",ROUNDDOWN(Config!$B$11/ABS(H461-I461),0))</f>
        <v/>
      </c>
    </row>
    <row r="462" customFormat="false" ht="15" hidden="false" customHeight="false" outlineLevel="0" collapsed="false">
      <c r="L462" s="20" t="str">
        <f aca="false">IF(OR(H462="",I462="",J462=""),"",IF(H462=I462,"",ABS(J462-H462)/ABS(H462-I462)))</f>
        <v/>
      </c>
      <c r="M462" s="9" t="str">
        <f aca="false">IF(OR(H462="",I462="",H462=I462),"",ROUNDDOWN(Config!$B$11/ABS(H462-I462),0))</f>
        <v/>
      </c>
    </row>
    <row r="463" customFormat="false" ht="15" hidden="false" customHeight="false" outlineLevel="0" collapsed="false">
      <c r="L463" s="20" t="str">
        <f aca="false">IF(OR(H463="",I463="",J463=""),"",IF(H463=I463,"",ABS(J463-H463)/ABS(H463-I463)))</f>
        <v/>
      </c>
      <c r="M463" s="9" t="str">
        <f aca="false">IF(OR(H463="",I463="",H463=I463),"",ROUNDDOWN(Config!$B$11/ABS(H463-I463),0))</f>
        <v/>
      </c>
    </row>
    <row r="464" customFormat="false" ht="15" hidden="false" customHeight="false" outlineLevel="0" collapsed="false">
      <c r="L464" s="20" t="str">
        <f aca="false">IF(OR(H464="",I464="",J464=""),"",IF(H464=I464,"",ABS(J464-H464)/ABS(H464-I464)))</f>
        <v/>
      </c>
      <c r="M464" s="9" t="str">
        <f aca="false">IF(OR(H464="",I464="",H464=I464),"",ROUNDDOWN(Config!$B$11/ABS(H464-I464),0))</f>
        <v/>
      </c>
    </row>
    <row r="465" customFormat="false" ht="15" hidden="false" customHeight="false" outlineLevel="0" collapsed="false">
      <c r="L465" s="20" t="str">
        <f aca="false">IF(OR(H465="",I465="",J465=""),"",IF(H465=I465,"",ABS(J465-H465)/ABS(H465-I465)))</f>
        <v/>
      </c>
      <c r="M465" s="9" t="str">
        <f aca="false">IF(OR(H465="",I465="",H465=I465),"",ROUNDDOWN(Config!$B$11/ABS(H465-I465),0))</f>
        <v/>
      </c>
    </row>
    <row r="466" customFormat="false" ht="15" hidden="false" customHeight="false" outlineLevel="0" collapsed="false">
      <c r="L466" s="20" t="str">
        <f aca="false">IF(OR(H466="",I466="",J466=""),"",IF(H466=I466,"",ABS(J466-H466)/ABS(H466-I466)))</f>
        <v/>
      </c>
      <c r="M466" s="9" t="str">
        <f aca="false">IF(OR(H466="",I466="",H466=I466),"",ROUNDDOWN(Config!$B$11/ABS(H466-I466),0))</f>
        <v/>
      </c>
    </row>
    <row r="467" customFormat="false" ht="15" hidden="false" customHeight="false" outlineLevel="0" collapsed="false">
      <c r="L467" s="20" t="str">
        <f aca="false">IF(OR(H467="",I467="",J467=""),"",IF(H467=I467,"",ABS(J467-H467)/ABS(H467-I467)))</f>
        <v/>
      </c>
      <c r="M467" s="9" t="str">
        <f aca="false">IF(OR(H467="",I467="",H467=I467),"",ROUNDDOWN(Config!$B$11/ABS(H467-I467),0))</f>
        <v/>
      </c>
    </row>
    <row r="468" customFormat="false" ht="15" hidden="false" customHeight="false" outlineLevel="0" collapsed="false">
      <c r="L468" s="20" t="str">
        <f aca="false">IF(OR(H468="",I468="",J468=""),"",IF(H468=I468,"",ABS(J468-H468)/ABS(H468-I468)))</f>
        <v/>
      </c>
      <c r="M468" s="9" t="str">
        <f aca="false">IF(OR(H468="",I468="",H468=I468),"",ROUNDDOWN(Config!$B$11/ABS(H468-I468),0))</f>
        <v/>
      </c>
    </row>
    <row r="469" customFormat="false" ht="15" hidden="false" customHeight="false" outlineLevel="0" collapsed="false">
      <c r="L469" s="20" t="str">
        <f aca="false">IF(OR(H469="",I469="",J469=""),"",IF(H469=I469,"",ABS(J469-H469)/ABS(H469-I469)))</f>
        <v/>
      </c>
      <c r="M469" s="9" t="str">
        <f aca="false">IF(OR(H469="",I469="",H469=I469),"",ROUNDDOWN(Config!$B$11/ABS(H469-I469),0))</f>
        <v/>
      </c>
    </row>
    <row r="470" customFormat="false" ht="15" hidden="false" customHeight="false" outlineLevel="0" collapsed="false">
      <c r="L470" s="20" t="str">
        <f aca="false">IF(OR(H470="",I470="",J470=""),"",IF(H470=I470,"",ABS(J470-H470)/ABS(H470-I470)))</f>
        <v/>
      </c>
      <c r="M470" s="9" t="str">
        <f aca="false">IF(OR(H470="",I470="",H470=I470),"",ROUNDDOWN(Config!$B$11/ABS(H470-I470),0))</f>
        <v/>
      </c>
    </row>
    <row r="471" customFormat="false" ht="15" hidden="false" customHeight="false" outlineLevel="0" collapsed="false">
      <c r="L471" s="20" t="str">
        <f aca="false">IF(OR(H471="",I471="",J471=""),"",IF(H471=I471,"",ABS(J471-H471)/ABS(H471-I471)))</f>
        <v/>
      </c>
      <c r="M471" s="9" t="str">
        <f aca="false">IF(OR(H471="",I471="",H471=I471),"",ROUNDDOWN(Config!$B$11/ABS(H471-I471),0))</f>
        <v/>
      </c>
    </row>
    <row r="472" customFormat="false" ht="15" hidden="false" customHeight="false" outlineLevel="0" collapsed="false">
      <c r="L472" s="20" t="str">
        <f aca="false">IF(OR(H472="",I472="",J472=""),"",IF(H472=I472,"",ABS(J472-H472)/ABS(H472-I472)))</f>
        <v/>
      </c>
      <c r="M472" s="9" t="str">
        <f aca="false">IF(OR(H472="",I472="",H472=I472),"",ROUNDDOWN(Config!$B$11/ABS(H472-I472),0))</f>
        <v/>
      </c>
    </row>
    <row r="473" customFormat="false" ht="15" hidden="false" customHeight="false" outlineLevel="0" collapsed="false">
      <c r="L473" s="20" t="str">
        <f aca="false">IF(OR(H473="",I473="",J473=""),"",IF(H473=I473,"",ABS(J473-H473)/ABS(H473-I473)))</f>
        <v/>
      </c>
      <c r="M473" s="9" t="str">
        <f aca="false">IF(OR(H473="",I473="",H473=I473),"",ROUNDDOWN(Config!$B$11/ABS(H473-I473),0))</f>
        <v/>
      </c>
    </row>
    <row r="474" customFormat="false" ht="15" hidden="false" customHeight="false" outlineLevel="0" collapsed="false">
      <c r="L474" s="20" t="str">
        <f aca="false">IF(OR(H474="",I474="",J474=""),"",IF(H474=I474,"",ABS(J474-H474)/ABS(H474-I474)))</f>
        <v/>
      </c>
      <c r="M474" s="9" t="str">
        <f aca="false">IF(OR(H474="",I474="",H474=I474),"",ROUNDDOWN(Config!$B$11/ABS(H474-I474),0))</f>
        <v/>
      </c>
    </row>
    <row r="475" customFormat="false" ht="15" hidden="false" customHeight="false" outlineLevel="0" collapsed="false">
      <c r="L475" s="20" t="str">
        <f aca="false">IF(OR(H475="",I475="",J475=""),"",IF(H475=I475,"",ABS(J475-H475)/ABS(H475-I475)))</f>
        <v/>
      </c>
      <c r="M475" s="9" t="str">
        <f aca="false">IF(OR(H475="",I475="",H475=I475),"",ROUNDDOWN(Config!$B$11/ABS(H475-I475),0))</f>
        <v/>
      </c>
    </row>
    <row r="476" customFormat="false" ht="15" hidden="false" customHeight="false" outlineLevel="0" collapsed="false">
      <c r="L476" s="20" t="str">
        <f aca="false">IF(OR(H476="",I476="",J476=""),"",IF(H476=I476,"",ABS(J476-H476)/ABS(H476-I476)))</f>
        <v/>
      </c>
      <c r="M476" s="9" t="str">
        <f aca="false">IF(OR(H476="",I476="",H476=I476),"",ROUNDDOWN(Config!$B$11/ABS(H476-I476),0))</f>
        <v/>
      </c>
    </row>
    <row r="477" customFormat="false" ht="15" hidden="false" customHeight="false" outlineLevel="0" collapsed="false">
      <c r="L477" s="20" t="str">
        <f aca="false">IF(OR(H477="",I477="",J477=""),"",IF(H477=I477,"",ABS(J477-H477)/ABS(H477-I477)))</f>
        <v/>
      </c>
      <c r="M477" s="9" t="str">
        <f aca="false">IF(OR(H477="",I477="",H477=I477),"",ROUNDDOWN(Config!$B$11/ABS(H477-I477),0))</f>
        <v/>
      </c>
    </row>
    <row r="478" customFormat="false" ht="15" hidden="false" customHeight="false" outlineLevel="0" collapsed="false">
      <c r="L478" s="20" t="str">
        <f aca="false">IF(OR(H478="",I478="",J478=""),"",IF(H478=I478,"",ABS(J478-H478)/ABS(H478-I478)))</f>
        <v/>
      </c>
      <c r="M478" s="9" t="str">
        <f aca="false">IF(OR(H478="",I478="",H478=I478),"",ROUNDDOWN(Config!$B$11/ABS(H478-I478),0))</f>
        <v/>
      </c>
    </row>
    <row r="479" customFormat="false" ht="15" hidden="false" customHeight="false" outlineLevel="0" collapsed="false">
      <c r="L479" s="20" t="str">
        <f aca="false">IF(OR(H479="",I479="",J479=""),"",IF(H479=I479,"",ABS(J479-H479)/ABS(H479-I479)))</f>
        <v/>
      </c>
      <c r="M479" s="9" t="str">
        <f aca="false">IF(OR(H479="",I479="",H479=I479),"",ROUNDDOWN(Config!$B$11/ABS(H479-I479),0))</f>
        <v/>
      </c>
    </row>
    <row r="480" customFormat="false" ht="15" hidden="false" customHeight="false" outlineLevel="0" collapsed="false">
      <c r="L480" s="20" t="str">
        <f aca="false">IF(OR(H480="",I480="",J480=""),"",IF(H480=I480,"",ABS(J480-H480)/ABS(H480-I480)))</f>
        <v/>
      </c>
      <c r="M480" s="9" t="str">
        <f aca="false">IF(OR(H480="",I480="",H480=I480),"",ROUNDDOWN(Config!$B$11/ABS(H480-I480),0))</f>
        <v/>
      </c>
    </row>
    <row r="481" customFormat="false" ht="15" hidden="false" customHeight="false" outlineLevel="0" collapsed="false">
      <c r="L481" s="20" t="str">
        <f aca="false">IF(OR(H481="",I481="",J481=""),"",IF(H481=I481,"",ABS(J481-H481)/ABS(H481-I481)))</f>
        <v/>
      </c>
      <c r="M481" s="9" t="str">
        <f aca="false">IF(OR(H481="",I481="",H481=I481),"",ROUNDDOWN(Config!$B$11/ABS(H481-I481),0))</f>
        <v/>
      </c>
    </row>
    <row r="482" customFormat="false" ht="15" hidden="false" customHeight="false" outlineLevel="0" collapsed="false">
      <c r="L482" s="20" t="str">
        <f aca="false">IF(OR(H482="",I482="",J482=""),"",IF(H482=I482,"",ABS(J482-H482)/ABS(H482-I482)))</f>
        <v/>
      </c>
      <c r="M482" s="9" t="str">
        <f aca="false">IF(OR(H482="",I482="",H482=I482),"",ROUNDDOWN(Config!$B$11/ABS(H482-I482),0))</f>
        <v/>
      </c>
    </row>
    <row r="483" customFormat="false" ht="15" hidden="false" customHeight="false" outlineLevel="0" collapsed="false">
      <c r="L483" s="20" t="str">
        <f aca="false">IF(OR(H483="",I483="",J483=""),"",IF(H483=I483,"",ABS(J483-H483)/ABS(H483-I483)))</f>
        <v/>
      </c>
      <c r="M483" s="9" t="str">
        <f aca="false">IF(OR(H483="",I483="",H483=I483),"",ROUNDDOWN(Config!$B$11/ABS(H483-I483),0))</f>
        <v/>
      </c>
    </row>
    <row r="484" customFormat="false" ht="15" hidden="false" customHeight="false" outlineLevel="0" collapsed="false">
      <c r="L484" s="20" t="str">
        <f aca="false">IF(OR(H484="",I484="",J484=""),"",IF(H484=I484,"",ABS(J484-H484)/ABS(H484-I484)))</f>
        <v/>
      </c>
      <c r="M484" s="9" t="str">
        <f aca="false">IF(OR(H484="",I484="",H484=I484),"",ROUNDDOWN(Config!$B$11/ABS(H484-I484),0))</f>
        <v/>
      </c>
    </row>
    <row r="485" customFormat="false" ht="15" hidden="false" customHeight="false" outlineLevel="0" collapsed="false">
      <c r="L485" s="20" t="str">
        <f aca="false">IF(OR(H485="",I485="",J485=""),"",IF(H485=I485,"",ABS(J485-H485)/ABS(H485-I485)))</f>
        <v/>
      </c>
      <c r="M485" s="9" t="str">
        <f aca="false">IF(OR(H485="",I485="",H485=I485),"",ROUNDDOWN(Config!$B$11/ABS(H485-I485),0))</f>
        <v/>
      </c>
    </row>
    <row r="486" customFormat="false" ht="15" hidden="false" customHeight="false" outlineLevel="0" collapsed="false">
      <c r="L486" s="20" t="str">
        <f aca="false">IF(OR(H486="",I486="",J486=""),"",IF(H486=I486,"",ABS(J486-H486)/ABS(H486-I486)))</f>
        <v/>
      </c>
      <c r="M486" s="9" t="str">
        <f aca="false">IF(OR(H486="",I486="",H486=I486),"",ROUNDDOWN(Config!$B$11/ABS(H486-I486),0))</f>
        <v/>
      </c>
    </row>
    <row r="487" customFormat="false" ht="15" hidden="false" customHeight="false" outlineLevel="0" collapsed="false">
      <c r="L487" s="20" t="str">
        <f aca="false">IF(OR(H487="",I487="",J487=""),"",IF(H487=I487,"",ABS(J487-H487)/ABS(H487-I487)))</f>
        <v/>
      </c>
      <c r="M487" s="9" t="str">
        <f aca="false">IF(OR(H487="",I487="",H487=I487),"",ROUNDDOWN(Config!$B$11/ABS(H487-I487),0))</f>
        <v/>
      </c>
    </row>
    <row r="488" customFormat="false" ht="15" hidden="false" customHeight="false" outlineLevel="0" collapsed="false">
      <c r="L488" s="20" t="str">
        <f aca="false">IF(OR(H488="",I488="",J488=""),"",IF(H488=I488,"",ABS(J488-H488)/ABS(H488-I488)))</f>
        <v/>
      </c>
      <c r="M488" s="9" t="str">
        <f aca="false">IF(OR(H488="",I488="",H488=I488),"",ROUNDDOWN(Config!$B$11/ABS(H488-I488),0))</f>
        <v/>
      </c>
    </row>
    <row r="489" customFormat="false" ht="15" hidden="false" customHeight="false" outlineLevel="0" collapsed="false">
      <c r="L489" s="20" t="str">
        <f aca="false">IF(OR(H489="",I489="",J489=""),"",IF(H489=I489,"",ABS(J489-H489)/ABS(H489-I489)))</f>
        <v/>
      </c>
      <c r="M489" s="9" t="str">
        <f aca="false">IF(OR(H489="",I489="",H489=I489),"",ROUNDDOWN(Config!$B$11/ABS(H489-I489),0))</f>
        <v/>
      </c>
    </row>
    <row r="490" customFormat="false" ht="15" hidden="false" customHeight="false" outlineLevel="0" collapsed="false">
      <c r="L490" s="20" t="str">
        <f aca="false">IF(OR(H490="",I490="",J490=""),"",IF(H490=I490,"",ABS(J490-H490)/ABS(H490-I490)))</f>
        <v/>
      </c>
      <c r="M490" s="9" t="str">
        <f aca="false">IF(OR(H490="",I490="",H490=I490),"",ROUNDDOWN(Config!$B$11/ABS(H490-I490),0))</f>
        <v/>
      </c>
    </row>
    <row r="491" customFormat="false" ht="15" hidden="false" customHeight="false" outlineLevel="0" collapsed="false">
      <c r="L491" s="20" t="str">
        <f aca="false">IF(OR(H491="",I491="",J491=""),"",IF(H491=I491,"",ABS(J491-H491)/ABS(H491-I491)))</f>
        <v/>
      </c>
      <c r="M491" s="9" t="str">
        <f aca="false">IF(OR(H491="",I491="",H491=I491),"",ROUNDDOWN(Config!$B$11/ABS(H491-I491),0))</f>
        <v/>
      </c>
    </row>
    <row r="492" customFormat="false" ht="15" hidden="false" customHeight="false" outlineLevel="0" collapsed="false">
      <c r="L492" s="20" t="str">
        <f aca="false">IF(OR(H492="",I492="",J492=""),"",IF(H492=I492,"",ABS(J492-H492)/ABS(H492-I492)))</f>
        <v/>
      </c>
      <c r="M492" s="9" t="str">
        <f aca="false">IF(OR(H492="",I492="",H492=I492),"",ROUNDDOWN(Config!$B$11/ABS(H492-I492),0))</f>
        <v/>
      </c>
    </row>
    <row r="493" customFormat="false" ht="15" hidden="false" customHeight="false" outlineLevel="0" collapsed="false">
      <c r="L493" s="20" t="str">
        <f aca="false">IF(OR(H493="",I493="",J493=""),"",IF(H493=I493,"",ABS(J493-H493)/ABS(H493-I493)))</f>
        <v/>
      </c>
      <c r="M493" s="9" t="str">
        <f aca="false">IF(OR(H493="",I493="",H493=I493),"",ROUNDDOWN(Config!$B$11/ABS(H493-I493),0))</f>
        <v/>
      </c>
    </row>
    <row r="494" customFormat="false" ht="15" hidden="false" customHeight="false" outlineLevel="0" collapsed="false">
      <c r="L494" s="20" t="str">
        <f aca="false">IF(OR(H494="",I494="",J494=""),"",IF(H494=I494,"",ABS(J494-H494)/ABS(H494-I494)))</f>
        <v/>
      </c>
      <c r="M494" s="9" t="str">
        <f aca="false">IF(OR(H494="",I494="",H494=I494),"",ROUNDDOWN(Config!$B$11/ABS(H494-I494),0))</f>
        <v/>
      </c>
    </row>
    <row r="495" customFormat="false" ht="15" hidden="false" customHeight="false" outlineLevel="0" collapsed="false">
      <c r="L495" s="20" t="str">
        <f aca="false">IF(OR(H495="",I495="",J495=""),"",IF(H495=I495,"",ABS(J495-H495)/ABS(H495-I495)))</f>
        <v/>
      </c>
      <c r="M495" s="9" t="str">
        <f aca="false">IF(OR(H495="",I495="",H495=I495),"",ROUNDDOWN(Config!$B$11/ABS(H495-I495),0))</f>
        <v/>
      </c>
    </row>
    <row r="496" customFormat="false" ht="15" hidden="false" customHeight="false" outlineLevel="0" collapsed="false">
      <c r="L496" s="20" t="str">
        <f aca="false">IF(OR(H496="",I496="",J496=""),"",IF(H496=I496,"",ABS(J496-H496)/ABS(H496-I496)))</f>
        <v/>
      </c>
      <c r="M496" s="9" t="str">
        <f aca="false">IF(OR(H496="",I496="",H496=I496),"",ROUNDDOWN(Config!$B$11/ABS(H496-I496),0))</f>
        <v/>
      </c>
    </row>
    <row r="497" customFormat="false" ht="15" hidden="false" customHeight="false" outlineLevel="0" collapsed="false">
      <c r="L497" s="20" t="str">
        <f aca="false">IF(OR(H497="",I497="",J497=""),"",IF(H497=I497,"",ABS(J497-H497)/ABS(H497-I497)))</f>
        <v/>
      </c>
      <c r="M497" s="9" t="str">
        <f aca="false">IF(OR(H497="",I497="",H497=I497),"",ROUNDDOWN(Config!$B$11/ABS(H497-I497),0))</f>
        <v/>
      </c>
    </row>
    <row r="498" customFormat="false" ht="15" hidden="false" customHeight="false" outlineLevel="0" collapsed="false">
      <c r="L498" s="20" t="str">
        <f aca="false">IF(OR(H498="",I498="",J498=""),"",IF(H498=I498,"",ABS(J498-H498)/ABS(H498-I498)))</f>
        <v/>
      </c>
      <c r="M498" s="9" t="str">
        <f aca="false">IF(OR(H498="",I498="",H498=I498),"",ROUNDDOWN(Config!$B$11/ABS(H498-I498),0))</f>
        <v/>
      </c>
    </row>
    <row r="499" customFormat="false" ht="15" hidden="false" customHeight="false" outlineLevel="0" collapsed="false">
      <c r="L499" s="20" t="str">
        <f aca="false">IF(OR(H499="",I499="",J499=""),"",IF(H499=I499,"",ABS(J499-H499)/ABS(H499-I499)))</f>
        <v/>
      </c>
      <c r="M499" s="9" t="str">
        <f aca="false">IF(OR(H499="",I499="",H499=I499),"",ROUNDDOWN(Config!$B$11/ABS(H499-I499),0))</f>
        <v/>
      </c>
    </row>
  </sheetData>
  <dataValidations count="3">
    <dataValidation allowBlank="true" errorStyle="stop" operator="between" showDropDown="false" showErrorMessage="false" showInputMessage="false" sqref="C2:C499" type="list">
      <formula1>"Option Scalp,Intraday,Short-term"</formula1>
      <formula2>0</formula2>
    </dataValidation>
    <dataValidation allowBlank="true" errorStyle="stop" operator="between" showDropDown="false" showErrorMessage="false" showInputMessage="false" sqref="E2:E499" type="list">
      <formula1>"Buy,Sell"</formula1>
      <formula2>0</formula2>
    </dataValidation>
    <dataValidation allowBlank="true" errorStyle="stop" operator="between" showDropDown="false" showErrorMessage="false" showInputMessage="false" sqref="F2:F499" type="list">
      <formula1>"Equity,CE,PE,Futures"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45"/>
  </cols>
  <sheetData>
    <row r="1" customFormat="false" ht="31.5" hidden="false" customHeight="true" outlineLevel="0" collapsed="false">
      <c r="A1" s="4" t="s">
        <v>48</v>
      </c>
      <c r="B1" s="4" t="s">
        <v>29</v>
      </c>
      <c r="C1" s="4" t="s">
        <v>49</v>
      </c>
      <c r="D1" s="4" t="s">
        <v>50</v>
      </c>
      <c r="E1" s="4" t="s">
        <v>51</v>
      </c>
      <c r="F1" s="4" t="s">
        <v>70</v>
      </c>
      <c r="G1" s="4" t="s">
        <v>55</v>
      </c>
      <c r="H1" s="4" t="s">
        <v>56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</row>
    <row r="2" customFormat="false" ht="15" hidden="false" customHeight="false" outlineLevel="0" collapsed="false">
      <c r="A2" s="10" t="s">
        <v>63</v>
      </c>
      <c r="B2" s="10" t="s">
        <v>45</v>
      </c>
      <c r="C2" s="10" t="s">
        <v>64</v>
      </c>
      <c r="D2" s="10" t="s">
        <v>65</v>
      </c>
      <c r="E2" s="10" t="s">
        <v>66</v>
      </c>
      <c r="F2" s="10" t="n">
        <v>95</v>
      </c>
      <c r="G2" s="10" t="n">
        <v>75</v>
      </c>
      <c r="H2" s="10" t="n">
        <v>125</v>
      </c>
      <c r="I2" s="10" t="n">
        <v>96</v>
      </c>
      <c r="J2" s="10" t="n">
        <v>124</v>
      </c>
      <c r="K2" s="10" t="s">
        <v>45</v>
      </c>
      <c r="L2" s="10" t="s">
        <v>80</v>
      </c>
      <c r="M2" s="21" t="n">
        <f aca="false">IF(OR(I2="",J2=""),"",IF(E2="Buy",(J2-I2)/I2,(I2-J2)/I2))</f>
        <v>0.291666666666667</v>
      </c>
      <c r="N2" s="22" t="n">
        <f aca="false">IF(OR(I2="",J2="",I2=G2),"",IF(E2="Buy",(J2-I2)/(I2-G2),(I2-J2)/(G2-I2)))</f>
        <v>1.33333333333333</v>
      </c>
      <c r="O2" s="23" t="n">
        <f aca="false">IF(OR(B2="",K2=""),"",IFERROR(K2-B2,""))</f>
        <v>0</v>
      </c>
      <c r="P2" s="23" t="n">
        <f aca="false">IF(M2="","",IF(M2&gt;0,1,0))</f>
        <v>1</v>
      </c>
      <c r="Q2" s="10" t="s">
        <v>81</v>
      </c>
    </row>
    <row r="3" customFormat="false" ht="15" hidden="false" customHeight="false" outlineLevel="0" collapsed="false">
      <c r="M3" s="24" t="str">
        <f aca="false">IF(OR(I3="",J3=""),"",IF(E3="Buy",(J3-I3)/I3,(I3-J3)/I3))</f>
        <v/>
      </c>
      <c r="N3" s="25" t="str">
        <f aca="false">IF(OR(I3="",J3="",I3=G3),"",IF(E3="Buy",(J3-I3)/(I3-G3),(I3-J3)/(G3-I3)))</f>
        <v/>
      </c>
      <c r="O3" s="2" t="str">
        <f aca="false">IF(OR(B3="",K3=""),"",IFERROR(K3-B3,""))</f>
        <v/>
      </c>
      <c r="P3" s="2" t="str">
        <f aca="false">IF(M3="","",IF(M3&gt;0,1,0))</f>
        <v/>
      </c>
    </row>
    <row r="4" customFormat="false" ht="15" hidden="false" customHeight="false" outlineLevel="0" collapsed="false">
      <c r="M4" s="24" t="str">
        <f aca="false">IF(OR(I4="",J4=""),"",IF(E4="Buy",(J4-I4)/I4,(I4-J4)/I4))</f>
        <v/>
      </c>
      <c r="N4" s="25" t="str">
        <f aca="false">IF(OR(I4="",J4="",I4=G4),"",IF(E4="Buy",(J4-I4)/(I4-G4),(I4-J4)/(G4-I4)))</f>
        <v/>
      </c>
      <c r="O4" s="2" t="str">
        <f aca="false">IF(OR(B4="",K4=""),"",IFERROR(K4-B4,""))</f>
        <v/>
      </c>
      <c r="P4" s="2" t="str">
        <f aca="false">IF(M4="","",IF(M4&gt;0,1,0))</f>
        <v/>
      </c>
    </row>
    <row r="5" customFormat="false" ht="15" hidden="false" customHeight="false" outlineLevel="0" collapsed="false">
      <c r="M5" s="24" t="str">
        <f aca="false">IF(OR(I5="",J5=""),"",IF(E5="Buy",(J5-I5)/I5,(I5-J5)/I5))</f>
        <v/>
      </c>
      <c r="N5" s="25" t="str">
        <f aca="false">IF(OR(I5="",J5="",I5=G5),"",IF(E5="Buy",(J5-I5)/(I5-G5),(I5-J5)/(G5-I5)))</f>
        <v/>
      </c>
      <c r="O5" s="2" t="str">
        <f aca="false">IF(OR(B5="",K5=""),"",IFERROR(K5-B5,""))</f>
        <v/>
      </c>
      <c r="P5" s="2" t="str">
        <f aca="false">IF(M5="","",IF(M5&gt;0,1,0))</f>
        <v/>
      </c>
    </row>
    <row r="6" customFormat="false" ht="15" hidden="false" customHeight="false" outlineLevel="0" collapsed="false">
      <c r="M6" s="24" t="str">
        <f aca="false">IF(OR(I6="",J6=""),"",IF(E6="Buy",(J6-I6)/I6,(I6-J6)/I6))</f>
        <v/>
      </c>
      <c r="N6" s="25" t="str">
        <f aca="false">IF(OR(I6="",J6="",I6=G6),"",IF(E6="Buy",(J6-I6)/(I6-G6),(I6-J6)/(G6-I6)))</f>
        <v/>
      </c>
      <c r="O6" s="2" t="str">
        <f aca="false">IF(OR(B6="",K6=""),"",IFERROR(K6-B6,""))</f>
        <v/>
      </c>
      <c r="P6" s="2" t="str">
        <f aca="false">IF(M6="","",IF(M6&gt;0,1,0))</f>
        <v/>
      </c>
    </row>
    <row r="7" customFormat="false" ht="15" hidden="false" customHeight="false" outlineLevel="0" collapsed="false">
      <c r="M7" s="24" t="str">
        <f aca="false">IF(OR(I7="",J7=""),"",IF(E7="Buy",(J7-I7)/I7,(I7-J7)/I7))</f>
        <v/>
      </c>
      <c r="N7" s="25" t="str">
        <f aca="false">IF(OR(I7="",J7="",I7=G7),"",IF(E7="Buy",(J7-I7)/(I7-G7),(I7-J7)/(G7-I7)))</f>
        <v/>
      </c>
      <c r="O7" s="2" t="str">
        <f aca="false">IF(OR(B7="",K7=""),"",IFERROR(K7-B7,""))</f>
        <v/>
      </c>
      <c r="P7" s="2" t="str">
        <f aca="false">IF(M7="","",IF(M7&gt;0,1,0))</f>
        <v/>
      </c>
    </row>
    <row r="8" customFormat="false" ht="15" hidden="false" customHeight="false" outlineLevel="0" collapsed="false">
      <c r="M8" s="24" t="str">
        <f aca="false">IF(OR(I8="",J8=""),"",IF(E8="Buy",(J8-I8)/I8,(I8-J8)/I8))</f>
        <v/>
      </c>
      <c r="N8" s="25" t="str">
        <f aca="false">IF(OR(I8="",J8="",I8=G8),"",IF(E8="Buy",(J8-I8)/(I8-G8),(I8-J8)/(G8-I8)))</f>
        <v/>
      </c>
      <c r="O8" s="2" t="str">
        <f aca="false">IF(OR(B8="",K8=""),"",IFERROR(K8-B8,""))</f>
        <v/>
      </c>
      <c r="P8" s="2" t="str">
        <f aca="false">IF(M8="","",IF(M8&gt;0,1,0))</f>
        <v/>
      </c>
    </row>
    <row r="9" customFormat="false" ht="15" hidden="false" customHeight="false" outlineLevel="0" collapsed="false">
      <c r="M9" s="24" t="str">
        <f aca="false">IF(OR(I9="",J9=""),"",IF(E9="Buy",(J9-I9)/I9,(I9-J9)/I9))</f>
        <v/>
      </c>
      <c r="N9" s="25" t="str">
        <f aca="false">IF(OR(I9="",J9="",I9=G9),"",IF(E9="Buy",(J9-I9)/(I9-G9),(I9-J9)/(G9-I9)))</f>
        <v/>
      </c>
      <c r="O9" s="2" t="str">
        <f aca="false">IF(OR(B9="",K9=""),"",IFERROR(K9-B9,""))</f>
        <v/>
      </c>
      <c r="P9" s="2" t="str">
        <f aca="false">IF(M9="","",IF(M9&gt;0,1,0))</f>
        <v/>
      </c>
    </row>
    <row r="10" customFormat="false" ht="15" hidden="false" customHeight="false" outlineLevel="0" collapsed="false">
      <c r="M10" s="24" t="str">
        <f aca="false">IF(OR(I10="",J10=""),"",IF(E10="Buy",(J10-I10)/I10,(I10-J10)/I10))</f>
        <v/>
      </c>
      <c r="N10" s="25" t="str">
        <f aca="false">IF(OR(I10="",J10="",I10=G10),"",IF(E10="Buy",(J10-I10)/(I10-G10),(I10-J10)/(G10-I10)))</f>
        <v/>
      </c>
      <c r="O10" s="2" t="str">
        <f aca="false">IF(OR(B10="",K10=""),"",IFERROR(K10-B10,""))</f>
        <v/>
      </c>
      <c r="P10" s="2" t="str">
        <f aca="false">IF(M10="","",IF(M10&gt;0,1,0))</f>
        <v/>
      </c>
    </row>
    <row r="11" customFormat="false" ht="15" hidden="false" customHeight="false" outlineLevel="0" collapsed="false">
      <c r="M11" s="24" t="str">
        <f aca="false">IF(OR(I11="",J11=""),"",IF(E11="Buy",(J11-I11)/I11,(I11-J11)/I11))</f>
        <v/>
      </c>
      <c r="N11" s="25" t="str">
        <f aca="false">IF(OR(I11="",J11="",I11=G11),"",IF(E11="Buy",(J11-I11)/(I11-G11),(I11-J11)/(G11-I11)))</f>
        <v/>
      </c>
      <c r="O11" s="2" t="str">
        <f aca="false">IF(OR(B11="",K11=""),"",IFERROR(K11-B11,""))</f>
        <v/>
      </c>
      <c r="P11" s="2" t="str">
        <f aca="false">IF(M11="","",IF(M11&gt;0,1,0))</f>
        <v/>
      </c>
    </row>
    <row r="12" customFormat="false" ht="15" hidden="false" customHeight="false" outlineLevel="0" collapsed="false">
      <c r="M12" s="24" t="str">
        <f aca="false">IF(OR(I12="",J12=""),"",IF(E12="Buy",(J12-I12)/I12,(I12-J12)/I12))</f>
        <v/>
      </c>
      <c r="N12" s="25" t="str">
        <f aca="false">IF(OR(I12="",J12="",I12=G12),"",IF(E12="Buy",(J12-I12)/(I12-G12),(I12-J12)/(G12-I12)))</f>
        <v/>
      </c>
      <c r="O12" s="2" t="str">
        <f aca="false">IF(OR(B12="",K12=""),"",IFERROR(K12-B12,""))</f>
        <v/>
      </c>
      <c r="P12" s="2" t="str">
        <f aca="false">IF(M12="","",IF(M12&gt;0,1,0))</f>
        <v/>
      </c>
    </row>
    <row r="13" customFormat="false" ht="15" hidden="false" customHeight="false" outlineLevel="0" collapsed="false">
      <c r="M13" s="24" t="str">
        <f aca="false">IF(OR(I13="",J13=""),"",IF(E13="Buy",(J13-I13)/I13,(I13-J13)/I13))</f>
        <v/>
      </c>
      <c r="N13" s="25" t="str">
        <f aca="false">IF(OR(I13="",J13="",I13=G13),"",IF(E13="Buy",(J13-I13)/(I13-G13),(I13-J13)/(G13-I13)))</f>
        <v/>
      </c>
      <c r="O13" s="2" t="str">
        <f aca="false">IF(OR(B13="",K13=""),"",IFERROR(K13-B13,""))</f>
        <v/>
      </c>
      <c r="P13" s="2" t="str">
        <f aca="false">IF(M13="","",IF(M13&gt;0,1,0))</f>
        <v/>
      </c>
    </row>
    <row r="14" customFormat="false" ht="15" hidden="false" customHeight="false" outlineLevel="0" collapsed="false">
      <c r="M14" s="24" t="str">
        <f aca="false">IF(OR(I14="",J14=""),"",IF(E14="Buy",(J14-I14)/I14,(I14-J14)/I14))</f>
        <v/>
      </c>
      <c r="N14" s="25" t="str">
        <f aca="false">IF(OR(I14="",J14="",I14=G14),"",IF(E14="Buy",(J14-I14)/(I14-G14),(I14-J14)/(G14-I14)))</f>
        <v/>
      </c>
      <c r="O14" s="2" t="str">
        <f aca="false">IF(OR(B14="",K14=""),"",IFERROR(K14-B14,""))</f>
        <v/>
      </c>
      <c r="P14" s="2" t="str">
        <f aca="false">IF(M14="","",IF(M14&gt;0,1,0))</f>
        <v/>
      </c>
    </row>
    <row r="15" customFormat="false" ht="15" hidden="false" customHeight="false" outlineLevel="0" collapsed="false">
      <c r="M15" s="24" t="str">
        <f aca="false">IF(OR(I15="",J15=""),"",IF(E15="Buy",(J15-I15)/I15,(I15-J15)/I15))</f>
        <v/>
      </c>
      <c r="N15" s="25" t="str">
        <f aca="false">IF(OR(I15="",J15="",I15=G15),"",IF(E15="Buy",(J15-I15)/(I15-G15),(I15-J15)/(G15-I15)))</f>
        <v/>
      </c>
      <c r="O15" s="2" t="str">
        <f aca="false">IF(OR(B15="",K15=""),"",IFERROR(K15-B15,""))</f>
        <v/>
      </c>
      <c r="P15" s="2" t="str">
        <f aca="false">IF(M15="","",IF(M15&gt;0,1,0))</f>
        <v/>
      </c>
    </row>
    <row r="16" customFormat="false" ht="15" hidden="false" customHeight="false" outlineLevel="0" collapsed="false">
      <c r="M16" s="24" t="str">
        <f aca="false">IF(OR(I16="",J16=""),"",IF(E16="Buy",(J16-I16)/I16,(I16-J16)/I16))</f>
        <v/>
      </c>
      <c r="N16" s="25" t="str">
        <f aca="false">IF(OR(I16="",J16="",I16=G16),"",IF(E16="Buy",(J16-I16)/(I16-G16),(I16-J16)/(G16-I16)))</f>
        <v/>
      </c>
      <c r="O16" s="2" t="str">
        <f aca="false">IF(OR(B16="",K16=""),"",IFERROR(K16-B16,""))</f>
        <v/>
      </c>
      <c r="P16" s="2" t="str">
        <f aca="false">IF(M16="","",IF(M16&gt;0,1,0))</f>
        <v/>
      </c>
    </row>
    <row r="17" customFormat="false" ht="15" hidden="false" customHeight="false" outlineLevel="0" collapsed="false">
      <c r="M17" s="24" t="str">
        <f aca="false">IF(OR(I17="",J17=""),"",IF(E17="Buy",(J17-I17)/I17,(I17-J17)/I17))</f>
        <v/>
      </c>
      <c r="N17" s="25" t="str">
        <f aca="false">IF(OR(I17="",J17="",I17=G17),"",IF(E17="Buy",(J17-I17)/(I17-G17),(I17-J17)/(G17-I17)))</f>
        <v/>
      </c>
      <c r="O17" s="2" t="str">
        <f aca="false">IF(OR(B17="",K17=""),"",IFERROR(K17-B17,""))</f>
        <v/>
      </c>
      <c r="P17" s="2" t="str">
        <f aca="false">IF(M17="","",IF(M17&gt;0,1,0))</f>
        <v/>
      </c>
    </row>
    <row r="18" customFormat="false" ht="15" hidden="false" customHeight="false" outlineLevel="0" collapsed="false">
      <c r="M18" s="24" t="str">
        <f aca="false">IF(OR(I18="",J18=""),"",IF(E18="Buy",(J18-I18)/I18,(I18-J18)/I18))</f>
        <v/>
      </c>
      <c r="N18" s="25" t="str">
        <f aca="false">IF(OR(I18="",J18="",I18=G18),"",IF(E18="Buy",(J18-I18)/(I18-G18),(I18-J18)/(G18-I18)))</f>
        <v/>
      </c>
      <c r="O18" s="2" t="str">
        <f aca="false">IF(OR(B18="",K18=""),"",IFERROR(K18-B18,""))</f>
        <v/>
      </c>
      <c r="P18" s="2" t="str">
        <f aca="false">IF(M18="","",IF(M18&gt;0,1,0))</f>
        <v/>
      </c>
    </row>
    <row r="19" customFormat="false" ht="15" hidden="false" customHeight="false" outlineLevel="0" collapsed="false">
      <c r="M19" s="24" t="str">
        <f aca="false">IF(OR(I19="",J19=""),"",IF(E19="Buy",(J19-I19)/I19,(I19-J19)/I19))</f>
        <v/>
      </c>
      <c r="N19" s="25" t="str">
        <f aca="false">IF(OR(I19="",J19="",I19=G19),"",IF(E19="Buy",(J19-I19)/(I19-G19),(I19-J19)/(G19-I19)))</f>
        <v/>
      </c>
      <c r="O19" s="2" t="str">
        <f aca="false">IF(OR(B19="",K19=""),"",IFERROR(K19-B19,""))</f>
        <v/>
      </c>
      <c r="P19" s="2" t="str">
        <f aca="false">IF(M19="","",IF(M19&gt;0,1,0))</f>
        <v/>
      </c>
    </row>
    <row r="20" customFormat="false" ht="15" hidden="false" customHeight="false" outlineLevel="0" collapsed="false">
      <c r="M20" s="24" t="str">
        <f aca="false">IF(OR(I20="",J20=""),"",IF(E20="Buy",(J20-I20)/I20,(I20-J20)/I20))</f>
        <v/>
      </c>
      <c r="N20" s="25" t="str">
        <f aca="false">IF(OR(I20="",J20="",I20=G20),"",IF(E20="Buy",(J20-I20)/(I20-G20),(I20-J20)/(G20-I20)))</f>
        <v/>
      </c>
      <c r="O20" s="2" t="str">
        <f aca="false">IF(OR(B20="",K20=""),"",IFERROR(K20-B20,""))</f>
        <v/>
      </c>
      <c r="P20" s="2" t="str">
        <f aca="false">IF(M20="","",IF(M20&gt;0,1,0))</f>
        <v/>
      </c>
    </row>
    <row r="21" customFormat="false" ht="15" hidden="false" customHeight="false" outlineLevel="0" collapsed="false">
      <c r="M21" s="24" t="str">
        <f aca="false">IF(OR(I21="",J21=""),"",IF(E21="Buy",(J21-I21)/I21,(I21-J21)/I21))</f>
        <v/>
      </c>
      <c r="N21" s="25" t="str">
        <f aca="false">IF(OR(I21="",J21="",I21=G21),"",IF(E21="Buy",(J21-I21)/(I21-G21),(I21-J21)/(G21-I21)))</f>
        <v/>
      </c>
      <c r="O21" s="2" t="str">
        <f aca="false">IF(OR(B21="",K21=""),"",IFERROR(K21-B21,""))</f>
        <v/>
      </c>
      <c r="P21" s="2" t="str">
        <f aca="false">IF(M21="","",IF(M21&gt;0,1,0))</f>
        <v/>
      </c>
    </row>
    <row r="22" customFormat="false" ht="15" hidden="false" customHeight="false" outlineLevel="0" collapsed="false">
      <c r="M22" s="24" t="str">
        <f aca="false">IF(OR(I22="",J22=""),"",IF(E22="Buy",(J22-I22)/I22,(I22-J22)/I22))</f>
        <v/>
      </c>
      <c r="N22" s="25" t="str">
        <f aca="false">IF(OR(I22="",J22="",I22=G22),"",IF(E22="Buy",(J22-I22)/(I22-G22),(I22-J22)/(G22-I22)))</f>
        <v/>
      </c>
      <c r="O22" s="2" t="str">
        <f aca="false">IF(OR(B22="",K22=""),"",IFERROR(K22-B22,""))</f>
        <v/>
      </c>
      <c r="P22" s="2" t="str">
        <f aca="false">IF(M22="","",IF(M22&gt;0,1,0))</f>
        <v/>
      </c>
    </row>
    <row r="23" customFormat="false" ht="15" hidden="false" customHeight="false" outlineLevel="0" collapsed="false">
      <c r="M23" s="24" t="str">
        <f aca="false">IF(OR(I23="",J23=""),"",IF(E23="Buy",(J23-I23)/I23,(I23-J23)/I23))</f>
        <v/>
      </c>
      <c r="N23" s="25" t="str">
        <f aca="false">IF(OR(I23="",J23="",I23=G23),"",IF(E23="Buy",(J23-I23)/(I23-G23),(I23-J23)/(G23-I23)))</f>
        <v/>
      </c>
      <c r="O23" s="2" t="str">
        <f aca="false">IF(OR(B23="",K23=""),"",IFERROR(K23-B23,""))</f>
        <v/>
      </c>
      <c r="P23" s="2" t="str">
        <f aca="false">IF(M23="","",IF(M23&gt;0,1,0))</f>
        <v/>
      </c>
    </row>
    <row r="24" customFormat="false" ht="15" hidden="false" customHeight="false" outlineLevel="0" collapsed="false">
      <c r="M24" s="24" t="str">
        <f aca="false">IF(OR(I24="",J24=""),"",IF(E24="Buy",(J24-I24)/I24,(I24-J24)/I24))</f>
        <v/>
      </c>
      <c r="N24" s="25" t="str">
        <f aca="false">IF(OR(I24="",J24="",I24=G24),"",IF(E24="Buy",(J24-I24)/(I24-G24),(I24-J24)/(G24-I24)))</f>
        <v/>
      </c>
      <c r="O24" s="2" t="str">
        <f aca="false">IF(OR(B24="",K24=""),"",IFERROR(K24-B24,""))</f>
        <v/>
      </c>
      <c r="P24" s="2" t="str">
        <f aca="false">IF(M24="","",IF(M24&gt;0,1,0))</f>
        <v/>
      </c>
    </row>
    <row r="25" customFormat="false" ht="15" hidden="false" customHeight="false" outlineLevel="0" collapsed="false">
      <c r="M25" s="24" t="str">
        <f aca="false">IF(OR(I25="",J25=""),"",IF(E25="Buy",(J25-I25)/I25,(I25-J25)/I25))</f>
        <v/>
      </c>
      <c r="N25" s="25" t="str">
        <f aca="false">IF(OR(I25="",J25="",I25=G25),"",IF(E25="Buy",(J25-I25)/(I25-G25),(I25-J25)/(G25-I25)))</f>
        <v/>
      </c>
      <c r="O25" s="2" t="str">
        <f aca="false">IF(OR(B25="",K25=""),"",IFERROR(K25-B25,""))</f>
        <v/>
      </c>
      <c r="P25" s="2" t="str">
        <f aca="false">IF(M25="","",IF(M25&gt;0,1,0))</f>
        <v/>
      </c>
    </row>
    <row r="26" customFormat="false" ht="15" hidden="false" customHeight="false" outlineLevel="0" collapsed="false">
      <c r="M26" s="24" t="str">
        <f aca="false">IF(OR(I26="",J26=""),"",IF(E26="Buy",(J26-I26)/I26,(I26-J26)/I26))</f>
        <v/>
      </c>
      <c r="N26" s="25" t="str">
        <f aca="false">IF(OR(I26="",J26="",I26=G26),"",IF(E26="Buy",(J26-I26)/(I26-G26),(I26-J26)/(G26-I26)))</f>
        <v/>
      </c>
      <c r="O26" s="2" t="str">
        <f aca="false">IF(OR(B26="",K26=""),"",IFERROR(K26-B26,""))</f>
        <v/>
      </c>
      <c r="P26" s="2" t="str">
        <f aca="false">IF(M26="","",IF(M26&gt;0,1,0))</f>
        <v/>
      </c>
    </row>
    <row r="27" customFormat="false" ht="15" hidden="false" customHeight="false" outlineLevel="0" collapsed="false">
      <c r="M27" s="24" t="str">
        <f aca="false">IF(OR(I27="",J27=""),"",IF(E27="Buy",(J27-I27)/I27,(I27-J27)/I27))</f>
        <v/>
      </c>
      <c r="N27" s="25" t="str">
        <f aca="false">IF(OR(I27="",J27="",I27=G27),"",IF(E27="Buy",(J27-I27)/(I27-G27),(I27-J27)/(G27-I27)))</f>
        <v/>
      </c>
      <c r="O27" s="2" t="str">
        <f aca="false">IF(OR(B27="",K27=""),"",IFERROR(K27-B27,""))</f>
        <v/>
      </c>
      <c r="P27" s="2" t="str">
        <f aca="false">IF(M27="","",IF(M27&gt;0,1,0))</f>
        <v/>
      </c>
    </row>
    <row r="28" customFormat="false" ht="15" hidden="false" customHeight="false" outlineLevel="0" collapsed="false">
      <c r="M28" s="24" t="str">
        <f aca="false">IF(OR(I28="",J28=""),"",IF(E28="Buy",(J28-I28)/I28,(I28-J28)/I28))</f>
        <v/>
      </c>
      <c r="N28" s="25" t="str">
        <f aca="false">IF(OR(I28="",J28="",I28=G28),"",IF(E28="Buy",(J28-I28)/(I28-G28),(I28-J28)/(G28-I28)))</f>
        <v/>
      </c>
      <c r="O28" s="2" t="str">
        <f aca="false">IF(OR(B28="",K28=""),"",IFERROR(K28-B28,""))</f>
        <v/>
      </c>
      <c r="P28" s="2" t="str">
        <f aca="false">IF(M28="","",IF(M28&gt;0,1,0))</f>
        <v/>
      </c>
    </row>
    <row r="29" customFormat="false" ht="15" hidden="false" customHeight="false" outlineLevel="0" collapsed="false">
      <c r="M29" s="24" t="str">
        <f aca="false">IF(OR(I29="",J29=""),"",IF(E29="Buy",(J29-I29)/I29,(I29-J29)/I29))</f>
        <v/>
      </c>
      <c r="N29" s="25" t="str">
        <f aca="false">IF(OR(I29="",J29="",I29=G29),"",IF(E29="Buy",(J29-I29)/(I29-G29),(I29-J29)/(G29-I29)))</f>
        <v/>
      </c>
      <c r="O29" s="2" t="str">
        <f aca="false">IF(OR(B29="",K29=""),"",IFERROR(K29-B29,""))</f>
        <v/>
      </c>
      <c r="P29" s="2" t="str">
        <f aca="false">IF(M29="","",IF(M29&gt;0,1,0))</f>
        <v/>
      </c>
    </row>
    <row r="30" customFormat="false" ht="15" hidden="false" customHeight="false" outlineLevel="0" collapsed="false">
      <c r="M30" s="24" t="str">
        <f aca="false">IF(OR(I30="",J30=""),"",IF(E30="Buy",(J30-I30)/I30,(I30-J30)/I30))</f>
        <v/>
      </c>
      <c r="N30" s="25" t="str">
        <f aca="false">IF(OR(I30="",J30="",I30=G30),"",IF(E30="Buy",(J30-I30)/(I30-G30),(I30-J30)/(G30-I30)))</f>
        <v/>
      </c>
      <c r="O30" s="2" t="str">
        <f aca="false">IF(OR(B30="",K30=""),"",IFERROR(K30-B30,""))</f>
        <v/>
      </c>
      <c r="P30" s="2" t="str">
        <f aca="false">IF(M30="","",IF(M30&gt;0,1,0))</f>
        <v/>
      </c>
    </row>
    <row r="31" customFormat="false" ht="15" hidden="false" customHeight="false" outlineLevel="0" collapsed="false">
      <c r="M31" s="24" t="str">
        <f aca="false">IF(OR(I31="",J31=""),"",IF(E31="Buy",(J31-I31)/I31,(I31-J31)/I31))</f>
        <v/>
      </c>
      <c r="N31" s="25" t="str">
        <f aca="false">IF(OR(I31="",J31="",I31=G31),"",IF(E31="Buy",(J31-I31)/(I31-G31),(I31-J31)/(G31-I31)))</f>
        <v/>
      </c>
      <c r="O31" s="2" t="str">
        <f aca="false">IF(OR(B31="",K31=""),"",IFERROR(K31-B31,""))</f>
        <v/>
      </c>
      <c r="P31" s="2" t="str">
        <f aca="false">IF(M31="","",IF(M31&gt;0,1,0))</f>
        <v/>
      </c>
    </row>
    <row r="32" customFormat="false" ht="15" hidden="false" customHeight="false" outlineLevel="0" collapsed="false">
      <c r="M32" s="24" t="str">
        <f aca="false">IF(OR(I32="",J32=""),"",IF(E32="Buy",(J32-I32)/I32,(I32-J32)/I32))</f>
        <v/>
      </c>
      <c r="N32" s="25" t="str">
        <f aca="false">IF(OR(I32="",J32="",I32=G32),"",IF(E32="Buy",(J32-I32)/(I32-G32),(I32-J32)/(G32-I32)))</f>
        <v/>
      </c>
      <c r="O32" s="2" t="str">
        <f aca="false">IF(OR(B32="",K32=""),"",IFERROR(K32-B32,""))</f>
        <v/>
      </c>
      <c r="P32" s="2" t="str">
        <f aca="false">IF(M32="","",IF(M32&gt;0,1,0))</f>
        <v/>
      </c>
    </row>
    <row r="33" customFormat="false" ht="15" hidden="false" customHeight="false" outlineLevel="0" collapsed="false">
      <c r="M33" s="24" t="str">
        <f aca="false">IF(OR(I33="",J33=""),"",IF(E33="Buy",(J33-I33)/I33,(I33-J33)/I33))</f>
        <v/>
      </c>
      <c r="N33" s="25" t="str">
        <f aca="false">IF(OR(I33="",J33="",I33=G33),"",IF(E33="Buy",(J33-I33)/(I33-G33),(I33-J33)/(G33-I33)))</f>
        <v/>
      </c>
      <c r="O33" s="2" t="str">
        <f aca="false">IF(OR(B33="",K33=""),"",IFERROR(K33-B33,""))</f>
        <v/>
      </c>
      <c r="P33" s="2" t="str">
        <f aca="false">IF(M33="","",IF(M33&gt;0,1,0))</f>
        <v/>
      </c>
    </row>
    <row r="34" customFormat="false" ht="15" hidden="false" customHeight="false" outlineLevel="0" collapsed="false">
      <c r="M34" s="24" t="str">
        <f aca="false">IF(OR(I34="",J34=""),"",IF(E34="Buy",(J34-I34)/I34,(I34-J34)/I34))</f>
        <v/>
      </c>
      <c r="N34" s="25" t="str">
        <f aca="false">IF(OR(I34="",J34="",I34=G34),"",IF(E34="Buy",(J34-I34)/(I34-G34),(I34-J34)/(G34-I34)))</f>
        <v/>
      </c>
      <c r="O34" s="2" t="str">
        <f aca="false">IF(OR(B34="",K34=""),"",IFERROR(K34-B34,""))</f>
        <v/>
      </c>
      <c r="P34" s="2" t="str">
        <f aca="false">IF(M34="","",IF(M34&gt;0,1,0))</f>
        <v/>
      </c>
    </row>
    <row r="35" customFormat="false" ht="15" hidden="false" customHeight="false" outlineLevel="0" collapsed="false">
      <c r="M35" s="24" t="str">
        <f aca="false">IF(OR(I35="",J35=""),"",IF(E35="Buy",(J35-I35)/I35,(I35-J35)/I35))</f>
        <v/>
      </c>
      <c r="N35" s="25" t="str">
        <f aca="false">IF(OR(I35="",J35="",I35=G35),"",IF(E35="Buy",(J35-I35)/(I35-G35),(I35-J35)/(G35-I35)))</f>
        <v/>
      </c>
      <c r="O35" s="2" t="str">
        <f aca="false">IF(OR(B35="",K35=""),"",IFERROR(K35-B35,""))</f>
        <v/>
      </c>
      <c r="P35" s="2" t="str">
        <f aca="false">IF(M35="","",IF(M35&gt;0,1,0))</f>
        <v/>
      </c>
    </row>
    <row r="36" customFormat="false" ht="15" hidden="false" customHeight="false" outlineLevel="0" collapsed="false">
      <c r="M36" s="24" t="str">
        <f aca="false">IF(OR(I36="",J36=""),"",IF(E36="Buy",(J36-I36)/I36,(I36-J36)/I36))</f>
        <v/>
      </c>
      <c r="N36" s="25" t="str">
        <f aca="false">IF(OR(I36="",J36="",I36=G36),"",IF(E36="Buy",(J36-I36)/(I36-G36),(I36-J36)/(G36-I36)))</f>
        <v/>
      </c>
      <c r="O36" s="2" t="str">
        <f aca="false">IF(OR(B36="",K36=""),"",IFERROR(K36-B36,""))</f>
        <v/>
      </c>
      <c r="P36" s="2" t="str">
        <f aca="false">IF(M36="","",IF(M36&gt;0,1,0))</f>
        <v/>
      </c>
    </row>
    <row r="37" customFormat="false" ht="15" hidden="false" customHeight="false" outlineLevel="0" collapsed="false">
      <c r="M37" s="24" t="str">
        <f aca="false">IF(OR(I37="",J37=""),"",IF(E37="Buy",(J37-I37)/I37,(I37-J37)/I37))</f>
        <v/>
      </c>
      <c r="N37" s="25" t="str">
        <f aca="false">IF(OR(I37="",J37="",I37=G37),"",IF(E37="Buy",(J37-I37)/(I37-G37),(I37-J37)/(G37-I37)))</f>
        <v/>
      </c>
      <c r="O37" s="2" t="str">
        <f aca="false">IF(OR(B37="",K37=""),"",IFERROR(K37-B37,""))</f>
        <v/>
      </c>
      <c r="P37" s="2" t="str">
        <f aca="false">IF(M37="","",IF(M37&gt;0,1,0))</f>
        <v/>
      </c>
    </row>
    <row r="38" customFormat="false" ht="15" hidden="false" customHeight="false" outlineLevel="0" collapsed="false">
      <c r="M38" s="24" t="str">
        <f aca="false">IF(OR(I38="",J38=""),"",IF(E38="Buy",(J38-I38)/I38,(I38-J38)/I38))</f>
        <v/>
      </c>
      <c r="N38" s="25" t="str">
        <f aca="false">IF(OR(I38="",J38="",I38=G38),"",IF(E38="Buy",(J38-I38)/(I38-G38),(I38-J38)/(G38-I38)))</f>
        <v/>
      </c>
      <c r="O38" s="2" t="str">
        <f aca="false">IF(OR(B38="",K38=""),"",IFERROR(K38-B38,""))</f>
        <v/>
      </c>
      <c r="P38" s="2" t="str">
        <f aca="false">IF(M38="","",IF(M38&gt;0,1,0))</f>
        <v/>
      </c>
    </row>
    <row r="39" customFormat="false" ht="15" hidden="false" customHeight="false" outlineLevel="0" collapsed="false">
      <c r="M39" s="24" t="str">
        <f aca="false">IF(OR(I39="",J39=""),"",IF(E39="Buy",(J39-I39)/I39,(I39-J39)/I39))</f>
        <v/>
      </c>
      <c r="N39" s="25" t="str">
        <f aca="false">IF(OR(I39="",J39="",I39=G39),"",IF(E39="Buy",(J39-I39)/(I39-G39),(I39-J39)/(G39-I39)))</f>
        <v/>
      </c>
      <c r="O39" s="2" t="str">
        <f aca="false">IF(OR(B39="",K39=""),"",IFERROR(K39-B39,""))</f>
        <v/>
      </c>
      <c r="P39" s="2" t="str">
        <f aca="false">IF(M39="","",IF(M39&gt;0,1,0))</f>
        <v/>
      </c>
    </row>
    <row r="40" customFormat="false" ht="15" hidden="false" customHeight="false" outlineLevel="0" collapsed="false">
      <c r="M40" s="24" t="str">
        <f aca="false">IF(OR(I40="",J40=""),"",IF(E40="Buy",(J40-I40)/I40,(I40-J40)/I40))</f>
        <v/>
      </c>
      <c r="N40" s="25" t="str">
        <f aca="false">IF(OR(I40="",J40="",I40=G40),"",IF(E40="Buy",(J40-I40)/(I40-G40),(I40-J40)/(G40-I40)))</f>
        <v/>
      </c>
      <c r="O40" s="2" t="str">
        <f aca="false">IF(OR(B40="",K40=""),"",IFERROR(K40-B40,""))</f>
        <v/>
      </c>
      <c r="P40" s="2" t="str">
        <f aca="false">IF(M40="","",IF(M40&gt;0,1,0))</f>
        <v/>
      </c>
    </row>
    <row r="41" customFormat="false" ht="15" hidden="false" customHeight="false" outlineLevel="0" collapsed="false">
      <c r="M41" s="24" t="str">
        <f aca="false">IF(OR(I41="",J41=""),"",IF(E41="Buy",(J41-I41)/I41,(I41-J41)/I41))</f>
        <v/>
      </c>
      <c r="N41" s="25" t="str">
        <f aca="false">IF(OR(I41="",J41="",I41=G41),"",IF(E41="Buy",(J41-I41)/(I41-G41),(I41-J41)/(G41-I41)))</f>
        <v/>
      </c>
      <c r="O41" s="2" t="str">
        <f aca="false">IF(OR(B41="",K41=""),"",IFERROR(K41-B41,""))</f>
        <v/>
      </c>
      <c r="P41" s="2" t="str">
        <f aca="false">IF(M41="","",IF(M41&gt;0,1,0))</f>
        <v/>
      </c>
    </row>
    <row r="42" customFormat="false" ht="15" hidden="false" customHeight="false" outlineLevel="0" collapsed="false">
      <c r="M42" s="24" t="str">
        <f aca="false">IF(OR(I42="",J42=""),"",IF(E42="Buy",(J42-I42)/I42,(I42-J42)/I42))</f>
        <v/>
      </c>
      <c r="N42" s="25" t="str">
        <f aca="false">IF(OR(I42="",J42="",I42=G42),"",IF(E42="Buy",(J42-I42)/(I42-G42),(I42-J42)/(G42-I42)))</f>
        <v/>
      </c>
      <c r="O42" s="2" t="str">
        <f aca="false">IF(OR(B42="",K42=""),"",IFERROR(K42-B42,""))</f>
        <v/>
      </c>
      <c r="P42" s="2" t="str">
        <f aca="false">IF(M42="","",IF(M42&gt;0,1,0))</f>
        <v/>
      </c>
    </row>
    <row r="43" customFormat="false" ht="15" hidden="false" customHeight="false" outlineLevel="0" collapsed="false">
      <c r="M43" s="24" t="str">
        <f aca="false">IF(OR(I43="",J43=""),"",IF(E43="Buy",(J43-I43)/I43,(I43-J43)/I43))</f>
        <v/>
      </c>
      <c r="N43" s="25" t="str">
        <f aca="false">IF(OR(I43="",J43="",I43=G43),"",IF(E43="Buy",(J43-I43)/(I43-G43),(I43-J43)/(G43-I43)))</f>
        <v/>
      </c>
      <c r="O43" s="2" t="str">
        <f aca="false">IF(OR(B43="",K43=""),"",IFERROR(K43-B43,""))</f>
        <v/>
      </c>
      <c r="P43" s="2" t="str">
        <f aca="false">IF(M43="","",IF(M43&gt;0,1,0))</f>
        <v/>
      </c>
    </row>
    <row r="44" customFormat="false" ht="15" hidden="false" customHeight="false" outlineLevel="0" collapsed="false">
      <c r="M44" s="24" t="str">
        <f aca="false">IF(OR(I44="",J44=""),"",IF(E44="Buy",(J44-I44)/I44,(I44-J44)/I44))</f>
        <v/>
      </c>
      <c r="N44" s="25" t="str">
        <f aca="false">IF(OR(I44="",J44="",I44=G44),"",IF(E44="Buy",(J44-I44)/(I44-G44),(I44-J44)/(G44-I44)))</f>
        <v/>
      </c>
      <c r="O44" s="2" t="str">
        <f aca="false">IF(OR(B44="",K44=""),"",IFERROR(K44-B44,""))</f>
        <v/>
      </c>
      <c r="P44" s="2" t="str">
        <f aca="false">IF(M44="","",IF(M44&gt;0,1,0))</f>
        <v/>
      </c>
    </row>
    <row r="45" customFormat="false" ht="15" hidden="false" customHeight="false" outlineLevel="0" collapsed="false">
      <c r="M45" s="24" t="str">
        <f aca="false">IF(OR(I45="",J45=""),"",IF(E45="Buy",(J45-I45)/I45,(I45-J45)/I45))</f>
        <v/>
      </c>
      <c r="N45" s="25" t="str">
        <f aca="false">IF(OR(I45="",J45="",I45=G45),"",IF(E45="Buy",(J45-I45)/(I45-G45),(I45-J45)/(G45-I45)))</f>
        <v/>
      </c>
      <c r="O45" s="2" t="str">
        <f aca="false">IF(OR(B45="",K45=""),"",IFERROR(K45-B45,""))</f>
        <v/>
      </c>
      <c r="P45" s="2" t="str">
        <f aca="false">IF(M45="","",IF(M45&gt;0,1,0))</f>
        <v/>
      </c>
    </row>
    <row r="46" customFormat="false" ht="15" hidden="false" customHeight="false" outlineLevel="0" collapsed="false">
      <c r="M46" s="24" t="str">
        <f aca="false">IF(OR(I46="",J46=""),"",IF(E46="Buy",(J46-I46)/I46,(I46-J46)/I46))</f>
        <v/>
      </c>
      <c r="N46" s="25" t="str">
        <f aca="false">IF(OR(I46="",J46="",I46=G46),"",IF(E46="Buy",(J46-I46)/(I46-G46),(I46-J46)/(G46-I46)))</f>
        <v/>
      </c>
      <c r="O46" s="2" t="str">
        <f aca="false">IF(OR(B46="",K46=""),"",IFERROR(K46-B46,""))</f>
        <v/>
      </c>
      <c r="P46" s="2" t="str">
        <f aca="false">IF(M46="","",IF(M46&gt;0,1,0))</f>
        <v/>
      </c>
    </row>
    <row r="47" customFormat="false" ht="15" hidden="false" customHeight="false" outlineLevel="0" collapsed="false">
      <c r="M47" s="24" t="str">
        <f aca="false">IF(OR(I47="",J47=""),"",IF(E47="Buy",(J47-I47)/I47,(I47-J47)/I47))</f>
        <v/>
      </c>
      <c r="N47" s="25" t="str">
        <f aca="false">IF(OR(I47="",J47="",I47=G47),"",IF(E47="Buy",(J47-I47)/(I47-G47),(I47-J47)/(G47-I47)))</f>
        <v/>
      </c>
      <c r="O47" s="2" t="str">
        <f aca="false">IF(OR(B47="",K47=""),"",IFERROR(K47-B47,""))</f>
        <v/>
      </c>
      <c r="P47" s="2" t="str">
        <f aca="false">IF(M47="","",IF(M47&gt;0,1,0))</f>
        <v/>
      </c>
    </row>
    <row r="48" customFormat="false" ht="15" hidden="false" customHeight="false" outlineLevel="0" collapsed="false">
      <c r="M48" s="24" t="str">
        <f aca="false">IF(OR(I48="",J48=""),"",IF(E48="Buy",(J48-I48)/I48,(I48-J48)/I48))</f>
        <v/>
      </c>
      <c r="N48" s="25" t="str">
        <f aca="false">IF(OR(I48="",J48="",I48=G48),"",IF(E48="Buy",(J48-I48)/(I48-G48),(I48-J48)/(G48-I48)))</f>
        <v/>
      </c>
      <c r="O48" s="2" t="str">
        <f aca="false">IF(OR(B48="",K48=""),"",IFERROR(K48-B48,""))</f>
        <v/>
      </c>
      <c r="P48" s="2" t="str">
        <f aca="false">IF(M48="","",IF(M48&gt;0,1,0))</f>
        <v/>
      </c>
    </row>
    <row r="49" customFormat="false" ht="15" hidden="false" customHeight="false" outlineLevel="0" collapsed="false">
      <c r="M49" s="24" t="str">
        <f aca="false">IF(OR(I49="",J49=""),"",IF(E49="Buy",(J49-I49)/I49,(I49-J49)/I49))</f>
        <v/>
      </c>
      <c r="N49" s="25" t="str">
        <f aca="false">IF(OR(I49="",J49="",I49=G49),"",IF(E49="Buy",(J49-I49)/(I49-G49),(I49-J49)/(G49-I49)))</f>
        <v/>
      </c>
      <c r="O49" s="2" t="str">
        <f aca="false">IF(OR(B49="",K49=""),"",IFERROR(K49-B49,""))</f>
        <v/>
      </c>
      <c r="P49" s="2" t="str">
        <f aca="false">IF(M49="","",IF(M49&gt;0,1,0))</f>
        <v/>
      </c>
    </row>
    <row r="50" customFormat="false" ht="15" hidden="false" customHeight="false" outlineLevel="0" collapsed="false">
      <c r="M50" s="24" t="str">
        <f aca="false">IF(OR(I50="",J50=""),"",IF(E50="Buy",(J50-I50)/I50,(I50-J50)/I50))</f>
        <v/>
      </c>
      <c r="N50" s="25" t="str">
        <f aca="false">IF(OR(I50="",J50="",I50=G50),"",IF(E50="Buy",(J50-I50)/(I50-G50),(I50-J50)/(G50-I50)))</f>
        <v/>
      </c>
      <c r="O50" s="2" t="str">
        <f aca="false">IF(OR(B50="",K50=""),"",IFERROR(K50-B50,""))</f>
        <v/>
      </c>
      <c r="P50" s="2" t="str">
        <f aca="false">IF(M50="","",IF(M50&gt;0,1,0))</f>
        <v/>
      </c>
    </row>
    <row r="51" customFormat="false" ht="15" hidden="false" customHeight="false" outlineLevel="0" collapsed="false">
      <c r="M51" s="24" t="str">
        <f aca="false">IF(OR(I51="",J51=""),"",IF(E51="Buy",(J51-I51)/I51,(I51-J51)/I51))</f>
        <v/>
      </c>
      <c r="N51" s="25" t="str">
        <f aca="false">IF(OR(I51="",J51="",I51=G51),"",IF(E51="Buy",(J51-I51)/(I51-G51),(I51-J51)/(G51-I51)))</f>
        <v/>
      </c>
      <c r="O51" s="2" t="str">
        <f aca="false">IF(OR(B51="",K51=""),"",IFERROR(K51-B51,""))</f>
        <v/>
      </c>
      <c r="P51" s="2" t="str">
        <f aca="false">IF(M51="","",IF(M51&gt;0,1,0))</f>
        <v/>
      </c>
    </row>
    <row r="52" customFormat="false" ht="15" hidden="false" customHeight="false" outlineLevel="0" collapsed="false">
      <c r="M52" s="24" t="str">
        <f aca="false">IF(OR(I52="",J52=""),"",IF(E52="Buy",(J52-I52)/I52,(I52-J52)/I52))</f>
        <v/>
      </c>
      <c r="N52" s="25" t="str">
        <f aca="false">IF(OR(I52="",J52="",I52=G52),"",IF(E52="Buy",(J52-I52)/(I52-G52),(I52-J52)/(G52-I52)))</f>
        <v/>
      </c>
      <c r="O52" s="2" t="str">
        <f aca="false">IF(OR(B52="",K52=""),"",IFERROR(K52-B52,""))</f>
        <v/>
      </c>
      <c r="P52" s="2" t="str">
        <f aca="false">IF(M52="","",IF(M52&gt;0,1,0))</f>
        <v/>
      </c>
    </row>
    <row r="53" customFormat="false" ht="15" hidden="false" customHeight="false" outlineLevel="0" collapsed="false">
      <c r="M53" s="24" t="str">
        <f aca="false">IF(OR(I53="",J53=""),"",IF(E53="Buy",(J53-I53)/I53,(I53-J53)/I53))</f>
        <v/>
      </c>
      <c r="N53" s="25" t="str">
        <f aca="false">IF(OR(I53="",J53="",I53=G53),"",IF(E53="Buy",(J53-I53)/(I53-G53),(I53-J53)/(G53-I53)))</f>
        <v/>
      </c>
      <c r="O53" s="2" t="str">
        <f aca="false">IF(OR(B53="",K53=""),"",IFERROR(K53-B53,""))</f>
        <v/>
      </c>
      <c r="P53" s="2" t="str">
        <f aca="false">IF(M53="","",IF(M53&gt;0,1,0))</f>
        <v/>
      </c>
    </row>
    <row r="54" customFormat="false" ht="15" hidden="false" customHeight="false" outlineLevel="0" collapsed="false">
      <c r="M54" s="24" t="str">
        <f aca="false">IF(OR(I54="",J54=""),"",IF(E54="Buy",(J54-I54)/I54,(I54-J54)/I54))</f>
        <v/>
      </c>
      <c r="N54" s="25" t="str">
        <f aca="false">IF(OR(I54="",J54="",I54=G54),"",IF(E54="Buy",(J54-I54)/(I54-G54),(I54-J54)/(G54-I54)))</f>
        <v/>
      </c>
      <c r="O54" s="2" t="str">
        <f aca="false">IF(OR(B54="",K54=""),"",IFERROR(K54-B54,""))</f>
        <v/>
      </c>
      <c r="P54" s="2" t="str">
        <f aca="false">IF(M54="","",IF(M54&gt;0,1,0))</f>
        <v/>
      </c>
    </row>
    <row r="55" customFormat="false" ht="15" hidden="false" customHeight="false" outlineLevel="0" collapsed="false">
      <c r="M55" s="24" t="str">
        <f aca="false">IF(OR(I55="",J55=""),"",IF(E55="Buy",(J55-I55)/I55,(I55-J55)/I55))</f>
        <v/>
      </c>
      <c r="N55" s="25" t="str">
        <f aca="false">IF(OR(I55="",J55="",I55=G55),"",IF(E55="Buy",(J55-I55)/(I55-G55),(I55-J55)/(G55-I55)))</f>
        <v/>
      </c>
      <c r="O55" s="2" t="str">
        <f aca="false">IF(OR(B55="",K55=""),"",IFERROR(K55-B55,""))</f>
        <v/>
      </c>
      <c r="P55" s="2" t="str">
        <f aca="false">IF(M55="","",IF(M55&gt;0,1,0))</f>
        <v/>
      </c>
    </row>
    <row r="56" customFormat="false" ht="15" hidden="false" customHeight="false" outlineLevel="0" collapsed="false">
      <c r="M56" s="24" t="str">
        <f aca="false">IF(OR(I56="",J56=""),"",IF(E56="Buy",(J56-I56)/I56,(I56-J56)/I56))</f>
        <v/>
      </c>
      <c r="N56" s="25" t="str">
        <f aca="false">IF(OR(I56="",J56="",I56=G56),"",IF(E56="Buy",(J56-I56)/(I56-G56),(I56-J56)/(G56-I56)))</f>
        <v/>
      </c>
      <c r="O56" s="2" t="str">
        <f aca="false">IF(OR(B56="",K56=""),"",IFERROR(K56-B56,""))</f>
        <v/>
      </c>
      <c r="P56" s="2" t="str">
        <f aca="false">IF(M56="","",IF(M56&gt;0,1,0))</f>
        <v/>
      </c>
    </row>
    <row r="57" customFormat="false" ht="15" hidden="false" customHeight="false" outlineLevel="0" collapsed="false">
      <c r="M57" s="24" t="str">
        <f aca="false">IF(OR(I57="",J57=""),"",IF(E57="Buy",(J57-I57)/I57,(I57-J57)/I57))</f>
        <v/>
      </c>
      <c r="N57" s="25" t="str">
        <f aca="false">IF(OR(I57="",J57="",I57=G57),"",IF(E57="Buy",(J57-I57)/(I57-G57),(I57-J57)/(G57-I57)))</f>
        <v/>
      </c>
      <c r="O57" s="2" t="str">
        <f aca="false">IF(OR(B57="",K57=""),"",IFERROR(K57-B57,""))</f>
        <v/>
      </c>
      <c r="P57" s="2" t="str">
        <f aca="false">IF(M57="","",IF(M57&gt;0,1,0))</f>
        <v/>
      </c>
    </row>
    <row r="58" customFormat="false" ht="15" hidden="false" customHeight="false" outlineLevel="0" collapsed="false">
      <c r="M58" s="24" t="str">
        <f aca="false">IF(OR(I58="",J58=""),"",IF(E58="Buy",(J58-I58)/I58,(I58-J58)/I58))</f>
        <v/>
      </c>
      <c r="N58" s="25" t="str">
        <f aca="false">IF(OR(I58="",J58="",I58=G58),"",IF(E58="Buy",(J58-I58)/(I58-G58),(I58-J58)/(G58-I58)))</f>
        <v/>
      </c>
      <c r="O58" s="2" t="str">
        <f aca="false">IF(OR(B58="",K58=""),"",IFERROR(K58-B58,""))</f>
        <v/>
      </c>
      <c r="P58" s="2" t="str">
        <f aca="false">IF(M58="","",IF(M58&gt;0,1,0))</f>
        <v/>
      </c>
    </row>
    <row r="59" customFormat="false" ht="15" hidden="false" customHeight="false" outlineLevel="0" collapsed="false">
      <c r="M59" s="24" t="str">
        <f aca="false">IF(OR(I59="",J59=""),"",IF(E59="Buy",(J59-I59)/I59,(I59-J59)/I59))</f>
        <v/>
      </c>
      <c r="N59" s="25" t="str">
        <f aca="false">IF(OR(I59="",J59="",I59=G59),"",IF(E59="Buy",(J59-I59)/(I59-G59),(I59-J59)/(G59-I59)))</f>
        <v/>
      </c>
      <c r="O59" s="2" t="str">
        <f aca="false">IF(OR(B59="",K59=""),"",IFERROR(K59-B59,""))</f>
        <v/>
      </c>
      <c r="P59" s="2" t="str">
        <f aca="false">IF(M59="","",IF(M59&gt;0,1,0))</f>
        <v/>
      </c>
    </row>
    <row r="60" customFormat="false" ht="15" hidden="false" customHeight="false" outlineLevel="0" collapsed="false">
      <c r="M60" s="24" t="str">
        <f aca="false">IF(OR(I60="",J60=""),"",IF(E60="Buy",(J60-I60)/I60,(I60-J60)/I60))</f>
        <v/>
      </c>
      <c r="N60" s="25" t="str">
        <f aca="false">IF(OR(I60="",J60="",I60=G60),"",IF(E60="Buy",(J60-I60)/(I60-G60),(I60-J60)/(G60-I60)))</f>
        <v/>
      </c>
      <c r="O60" s="2" t="str">
        <f aca="false">IF(OR(B60="",K60=""),"",IFERROR(K60-B60,""))</f>
        <v/>
      </c>
      <c r="P60" s="2" t="str">
        <f aca="false">IF(M60="","",IF(M60&gt;0,1,0))</f>
        <v/>
      </c>
    </row>
    <row r="61" customFormat="false" ht="15" hidden="false" customHeight="false" outlineLevel="0" collapsed="false">
      <c r="M61" s="24" t="str">
        <f aca="false">IF(OR(I61="",J61=""),"",IF(E61="Buy",(J61-I61)/I61,(I61-J61)/I61))</f>
        <v/>
      </c>
      <c r="N61" s="25" t="str">
        <f aca="false">IF(OR(I61="",J61="",I61=G61),"",IF(E61="Buy",(J61-I61)/(I61-G61),(I61-J61)/(G61-I61)))</f>
        <v/>
      </c>
      <c r="O61" s="2" t="str">
        <f aca="false">IF(OR(B61="",K61=""),"",IFERROR(K61-B61,""))</f>
        <v/>
      </c>
      <c r="P61" s="2" t="str">
        <f aca="false">IF(M61="","",IF(M61&gt;0,1,0))</f>
        <v/>
      </c>
    </row>
    <row r="62" customFormat="false" ht="15" hidden="false" customHeight="false" outlineLevel="0" collapsed="false">
      <c r="M62" s="24" t="str">
        <f aca="false">IF(OR(I62="",J62=""),"",IF(E62="Buy",(J62-I62)/I62,(I62-J62)/I62))</f>
        <v/>
      </c>
      <c r="N62" s="25" t="str">
        <f aca="false">IF(OR(I62="",J62="",I62=G62),"",IF(E62="Buy",(J62-I62)/(I62-G62),(I62-J62)/(G62-I62)))</f>
        <v/>
      </c>
      <c r="O62" s="2" t="str">
        <f aca="false">IF(OR(B62="",K62=""),"",IFERROR(K62-B62,""))</f>
        <v/>
      </c>
      <c r="P62" s="2" t="str">
        <f aca="false">IF(M62="","",IF(M62&gt;0,1,0))</f>
        <v/>
      </c>
    </row>
    <row r="63" customFormat="false" ht="15" hidden="false" customHeight="false" outlineLevel="0" collapsed="false">
      <c r="M63" s="24" t="str">
        <f aca="false">IF(OR(I63="",J63=""),"",IF(E63="Buy",(J63-I63)/I63,(I63-J63)/I63))</f>
        <v/>
      </c>
      <c r="N63" s="25" t="str">
        <f aca="false">IF(OR(I63="",J63="",I63=G63),"",IF(E63="Buy",(J63-I63)/(I63-G63),(I63-J63)/(G63-I63)))</f>
        <v/>
      </c>
      <c r="O63" s="2" t="str">
        <f aca="false">IF(OR(B63="",K63=""),"",IFERROR(K63-B63,""))</f>
        <v/>
      </c>
      <c r="P63" s="2" t="str">
        <f aca="false">IF(M63="","",IF(M63&gt;0,1,0))</f>
        <v/>
      </c>
    </row>
    <row r="64" customFormat="false" ht="15" hidden="false" customHeight="false" outlineLevel="0" collapsed="false">
      <c r="M64" s="24" t="str">
        <f aca="false">IF(OR(I64="",J64=""),"",IF(E64="Buy",(J64-I64)/I64,(I64-J64)/I64))</f>
        <v/>
      </c>
      <c r="N64" s="25" t="str">
        <f aca="false">IF(OR(I64="",J64="",I64=G64),"",IF(E64="Buy",(J64-I64)/(I64-G64),(I64-J64)/(G64-I64)))</f>
        <v/>
      </c>
      <c r="O64" s="2" t="str">
        <f aca="false">IF(OR(B64="",K64=""),"",IFERROR(K64-B64,""))</f>
        <v/>
      </c>
      <c r="P64" s="2" t="str">
        <f aca="false">IF(M64="","",IF(M64&gt;0,1,0))</f>
        <v/>
      </c>
    </row>
    <row r="65" customFormat="false" ht="15" hidden="false" customHeight="false" outlineLevel="0" collapsed="false">
      <c r="M65" s="24" t="str">
        <f aca="false">IF(OR(I65="",J65=""),"",IF(E65="Buy",(J65-I65)/I65,(I65-J65)/I65))</f>
        <v/>
      </c>
      <c r="N65" s="25" t="str">
        <f aca="false">IF(OR(I65="",J65="",I65=G65),"",IF(E65="Buy",(J65-I65)/(I65-G65),(I65-J65)/(G65-I65)))</f>
        <v/>
      </c>
      <c r="O65" s="2" t="str">
        <f aca="false">IF(OR(B65="",K65=""),"",IFERROR(K65-B65,""))</f>
        <v/>
      </c>
      <c r="P65" s="2" t="str">
        <f aca="false">IF(M65="","",IF(M65&gt;0,1,0))</f>
        <v/>
      </c>
    </row>
    <row r="66" customFormat="false" ht="15" hidden="false" customHeight="false" outlineLevel="0" collapsed="false">
      <c r="M66" s="24" t="str">
        <f aca="false">IF(OR(I66="",J66=""),"",IF(E66="Buy",(J66-I66)/I66,(I66-J66)/I66))</f>
        <v/>
      </c>
      <c r="N66" s="25" t="str">
        <f aca="false">IF(OR(I66="",J66="",I66=G66),"",IF(E66="Buy",(J66-I66)/(I66-G66),(I66-J66)/(G66-I66)))</f>
        <v/>
      </c>
      <c r="O66" s="2" t="str">
        <f aca="false">IF(OR(B66="",K66=""),"",IFERROR(K66-B66,""))</f>
        <v/>
      </c>
      <c r="P66" s="2" t="str">
        <f aca="false">IF(M66="","",IF(M66&gt;0,1,0))</f>
        <v/>
      </c>
    </row>
    <row r="67" customFormat="false" ht="15" hidden="false" customHeight="false" outlineLevel="0" collapsed="false">
      <c r="M67" s="24" t="str">
        <f aca="false">IF(OR(I67="",J67=""),"",IF(E67="Buy",(J67-I67)/I67,(I67-J67)/I67))</f>
        <v/>
      </c>
      <c r="N67" s="25" t="str">
        <f aca="false">IF(OR(I67="",J67="",I67=G67),"",IF(E67="Buy",(J67-I67)/(I67-G67),(I67-J67)/(G67-I67)))</f>
        <v/>
      </c>
      <c r="O67" s="2" t="str">
        <f aca="false">IF(OR(B67="",K67=""),"",IFERROR(K67-B67,""))</f>
        <v/>
      </c>
      <c r="P67" s="2" t="str">
        <f aca="false">IF(M67="","",IF(M67&gt;0,1,0))</f>
        <v/>
      </c>
    </row>
    <row r="68" customFormat="false" ht="15" hidden="false" customHeight="false" outlineLevel="0" collapsed="false">
      <c r="M68" s="24" t="str">
        <f aca="false">IF(OR(I68="",J68=""),"",IF(E68="Buy",(J68-I68)/I68,(I68-J68)/I68))</f>
        <v/>
      </c>
      <c r="N68" s="25" t="str">
        <f aca="false">IF(OR(I68="",J68="",I68=G68),"",IF(E68="Buy",(J68-I68)/(I68-G68),(I68-J68)/(G68-I68)))</f>
        <v/>
      </c>
      <c r="O68" s="2" t="str">
        <f aca="false">IF(OR(B68="",K68=""),"",IFERROR(K68-B68,""))</f>
        <v/>
      </c>
      <c r="P68" s="2" t="str">
        <f aca="false">IF(M68="","",IF(M68&gt;0,1,0))</f>
        <v/>
      </c>
    </row>
    <row r="69" customFormat="false" ht="15" hidden="false" customHeight="false" outlineLevel="0" collapsed="false">
      <c r="M69" s="24" t="str">
        <f aca="false">IF(OR(I69="",J69=""),"",IF(E69="Buy",(J69-I69)/I69,(I69-J69)/I69))</f>
        <v/>
      </c>
      <c r="N69" s="25" t="str">
        <f aca="false">IF(OR(I69="",J69="",I69=G69),"",IF(E69="Buy",(J69-I69)/(I69-G69),(I69-J69)/(G69-I69)))</f>
        <v/>
      </c>
      <c r="O69" s="2" t="str">
        <f aca="false">IF(OR(B69="",K69=""),"",IFERROR(K69-B69,""))</f>
        <v/>
      </c>
      <c r="P69" s="2" t="str">
        <f aca="false">IF(M69="","",IF(M69&gt;0,1,0))</f>
        <v/>
      </c>
    </row>
    <row r="70" customFormat="false" ht="15" hidden="false" customHeight="false" outlineLevel="0" collapsed="false">
      <c r="M70" s="24" t="str">
        <f aca="false">IF(OR(I70="",J70=""),"",IF(E70="Buy",(J70-I70)/I70,(I70-J70)/I70))</f>
        <v/>
      </c>
      <c r="N70" s="25" t="str">
        <f aca="false">IF(OR(I70="",J70="",I70=G70),"",IF(E70="Buy",(J70-I70)/(I70-G70),(I70-J70)/(G70-I70)))</f>
        <v/>
      </c>
      <c r="O70" s="2" t="str">
        <f aca="false">IF(OR(B70="",K70=""),"",IFERROR(K70-B70,""))</f>
        <v/>
      </c>
      <c r="P70" s="2" t="str">
        <f aca="false">IF(M70="","",IF(M70&gt;0,1,0))</f>
        <v/>
      </c>
    </row>
    <row r="71" customFormat="false" ht="15" hidden="false" customHeight="false" outlineLevel="0" collapsed="false">
      <c r="M71" s="24" t="str">
        <f aca="false">IF(OR(I71="",J71=""),"",IF(E71="Buy",(J71-I71)/I71,(I71-J71)/I71))</f>
        <v/>
      </c>
      <c r="N71" s="25" t="str">
        <f aca="false">IF(OR(I71="",J71="",I71=G71),"",IF(E71="Buy",(J71-I71)/(I71-G71),(I71-J71)/(G71-I71)))</f>
        <v/>
      </c>
      <c r="O71" s="2" t="str">
        <f aca="false">IF(OR(B71="",K71=""),"",IFERROR(K71-B71,""))</f>
        <v/>
      </c>
      <c r="P71" s="2" t="str">
        <f aca="false">IF(M71="","",IF(M71&gt;0,1,0))</f>
        <v/>
      </c>
    </row>
    <row r="72" customFormat="false" ht="15" hidden="false" customHeight="false" outlineLevel="0" collapsed="false">
      <c r="M72" s="24" t="str">
        <f aca="false">IF(OR(I72="",J72=""),"",IF(E72="Buy",(J72-I72)/I72,(I72-J72)/I72))</f>
        <v/>
      </c>
      <c r="N72" s="25" t="str">
        <f aca="false">IF(OR(I72="",J72="",I72=G72),"",IF(E72="Buy",(J72-I72)/(I72-G72),(I72-J72)/(G72-I72)))</f>
        <v/>
      </c>
      <c r="O72" s="2" t="str">
        <f aca="false">IF(OR(B72="",K72=""),"",IFERROR(K72-B72,""))</f>
        <v/>
      </c>
      <c r="P72" s="2" t="str">
        <f aca="false">IF(M72="","",IF(M72&gt;0,1,0))</f>
        <v/>
      </c>
    </row>
    <row r="73" customFormat="false" ht="15" hidden="false" customHeight="false" outlineLevel="0" collapsed="false">
      <c r="M73" s="24" t="str">
        <f aca="false">IF(OR(I73="",J73=""),"",IF(E73="Buy",(J73-I73)/I73,(I73-J73)/I73))</f>
        <v/>
      </c>
      <c r="N73" s="25" t="str">
        <f aca="false">IF(OR(I73="",J73="",I73=G73),"",IF(E73="Buy",(J73-I73)/(I73-G73),(I73-J73)/(G73-I73)))</f>
        <v/>
      </c>
      <c r="O73" s="2" t="str">
        <f aca="false">IF(OR(B73="",K73=""),"",IFERROR(K73-B73,""))</f>
        <v/>
      </c>
      <c r="P73" s="2" t="str">
        <f aca="false">IF(M73="","",IF(M73&gt;0,1,0))</f>
        <v/>
      </c>
    </row>
    <row r="74" customFormat="false" ht="15" hidden="false" customHeight="false" outlineLevel="0" collapsed="false">
      <c r="M74" s="24" t="str">
        <f aca="false">IF(OR(I74="",J74=""),"",IF(E74="Buy",(J74-I74)/I74,(I74-J74)/I74))</f>
        <v/>
      </c>
      <c r="N74" s="25" t="str">
        <f aca="false">IF(OR(I74="",J74="",I74=G74),"",IF(E74="Buy",(J74-I74)/(I74-G74),(I74-J74)/(G74-I74)))</f>
        <v/>
      </c>
      <c r="O74" s="2" t="str">
        <f aca="false">IF(OR(B74="",K74=""),"",IFERROR(K74-B74,""))</f>
        <v/>
      </c>
      <c r="P74" s="2" t="str">
        <f aca="false">IF(M74="","",IF(M74&gt;0,1,0))</f>
        <v/>
      </c>
    </row>
    <row r="75" customFormat="false" ht="15" hidden="false" customHeight="false" outlineLevel="0" collapsed="false">
      <c r="M75" s="24" t="str">
        <f aca="false">IF(OR(I75="",J75=""),"",IF(E75="Buy",(J75-I75)/I75,(I75-J75)/I75))</f>
        <v/>
      </c>
      <c r="N75" s="25" t="str">
        <f aca="false">IF(OR(I75="",J75="",I75=G75),"",IF(E75="Buy",(J75-I75)/(I75-G75),(I75-J75)/(G75-I75)))</f>
        <v/>
      </c>
      <c r="O75" s="2" t="str">
        <f aca="false">IF(OR(B75="",K75=""),"",IFERROR(K75-B75,""))</f>
        <v/>
      </c>
      <c r="P75" s="2" t="str">
        <f aca="false">IF(M75="","",IF(M75&gt;0,1,0))</f>
        <v/>
      </c>
    </row>
    <row r="76" customFormat="false" ht="15" hidden="false" customHeight="false" outlineLevel="0" collapsed="false">
      <c r="M76" s="24" t="str">
        <f aca="false">IF(OR(I76="",J76=""),"",IF(E76="Buy",(J76-I76)/I76,(I76-J76)/I76))</f>
        <v/>
      </c>
      <c r="N76" s="25" t="str">
        <f aca="false">IF(OR(I76="",J76="",I76=G76),"",IF(E76="Buy",(J76-I76)/(I76-G76),(I76-J76)/(G76-I76)))</f>
        <v/>
      </c>
      <c r="O76" s="2" t="str">
        <f aca="false">IF(OR(B76="",K76=""),"",IFERROR(K76-B76,""))</f>
        <v/>
      </c>
      <c r="P76" s="2" t="str">
        <f aca="false">IF(M76="","",IF(M76&gt;0,1,0))</f>
        <v/>
      </c>
    </row>
    <row r="77" customFormat="false" ht="15" hidden="false" customHeight="false" outlineLevel="0" collapsed="false">
      <c r="M77" s="24" t="str">
        <f aca="false">IF(OR(I77="",J77=""),"",IF(E77="Buy",(J77-I77)/I77,(I77-J77)/I77))</f>
        <v/>
      </c>
      <c r="N77" s="25" t="str">
        <f aca="false">IF(OR(I77="",J77="",I77=G77),"",IF(E77="Buy",(J77-I77)/(I77-G77),(I77-J77)/(G77-I77)))</f>
        <v/>
      </c>
      <c r="O77" s="2" t="str">
        <f aca="false">IF(OR(B77="",K77=""),"",IFERROR(K77-B77,""))</f>
        <v/>
      </c>
      <c r="P77" s="2" t="str">
        <f aca="false">IF(M77="","",IF(M77&gt;0,1,0))</f>
        <v/>
      </c>
    </row>
    <row r="78" customFormat="false" ht="15" hidden="false" customHeight="false" outlineLevel="0" collapsed="false">
      <c r="M78" s="24" t="str">
        <f aca="false">IF(OR(I78="",J78=""),"",IF(E78="Buy",(J78-I78)/I78,(I78-J78)/I78))</f>
        <v/>
      </c>
      <c r="N78" s="25" t="str">
        <f aca="false">IF(OR(I78="",J78="",I78=G78),"",IF(E78="Buy",(J78-I78)/(I78-G78),(I78-J78)/(G78-I78)))</f>
        <v/>
      </c>
      <c r="O78" s="2" t="str">
        <f aca="false">IF(OR(B78="",K78=""),"",IFERROR(K78-B78,""))</f>
        <v/>
      </c>
      <c r="P78" s="2" t="str">
        <f aca="false">IF(M78="","",IF(M78&gt;0,1,0))</f>
        <v/>
      </c>
    </row>
    <row r="79" customFormat="false" ht="15" hidden="false" customHeight="false" outlineLevel="0" collapsed="false">
      <c r="M79" s="24" t="str">
        <f aca="false">IF(OR(I79="",J79=""),"",IF(E79="Buy",(J79-I79)/I79,(I79-J79)/I79))</f>
        <v/>
      </c>
      <c r="N79" s="25" t="str">
        <f aca="false">IF(OR(I79="",J79="",I79=G79),"",IF(E79="Buy",(J79-I79)/(I79-G79),(I79-J79)/(G79-I79)))</f>
        <v/>
      </c>
      <c r="O79" s="2" t="str">
        <f aca="false">IF(OR(B79="",K79=""),"",IFERROR(K79-B79,""))</f>
        <v/>
      </c>
      <c r="P79" s="2" t="str">
        <f aca="false">IF(M79="","",IF(M79&gt;0,1,0))</f>
        <v/>
      </c>
    </row>
    <row r="80" customFormat="false" ht="15" hidden="false" customHeight="false" outlineLevel="0" collapsed="false">
      <c r="M80" s="24" t="str">
        <f aca="false">IF(OR(I80="",J80=""),"",IF(E80="Buy",(J80-I80)/I80,(I80-J80)/I80))</f>
        <v/>
      </c>
      <c r="N80" s="25" t="str">
        <f aca="false">IF(OR(I80="",J80="",I80=G80),"",IF(E80="Buy",(J80-I80)/(I80-G80),(I80-J80)/(G80-I80)))</f>
        <v/>
      </c>
      <c r="O80" s="2" t="str">
        <f aca="false">IF(OR(B80="",K80=""),"",IFERROR(K80-B80,""))</f>
        <v/>
      </c>
      <c r="P80" s="2" t="str">
        <f aca="false">IF(M80="","",IF(M80&gt;0,1,0))</f>
        <v/>
      </c>
    </row>
    <row r="81" customFormat="false" ht="15" hidden="false" customHeight="false" outlineLevel="0" collapsed="false">
      <c r="M81" s="24" t="str">
        <f aca="false">IF(OR(I81="",J81=""),"",IF(E81="Buy",(J81-I81)/I81,(I81-J81)/I81))</f>
        <v/>
      </c>
      <c r="N81" s="25" t="str">
        <f aca="false">IF(OR(I81="",J81="",I81=G81),"",IF(E81="Buy",(J81-I81)/(I81-G81),(I81-J81)/(G81-I81)))</f>
        <v/>
      </c>
      <c r="O81" s="2" t="str">
        <f aca="false">IF(OR(B81="",K81=""),"",IFERROR(K81-B81,""))</f>
        <v/>
      </c>
      <c r="P81" s="2" t="str">
        <f aca="false">IF(M81="","",IF(M81&gt;0,1,0))</f>
        <v/>
      </c>
    </row>
    <row r="82" customFormat="false" ht="15" hidden="false" customHeight="false" outlineLevel="0" collapsed="false">
      <c r="M82" s="24" t="str">
        <f aca="false">IF(OR(I82="",J82=""),"",IF(E82="Buy",(J82-I82)/I82,(I82-J82)/I82))</f>
        <v/>
      </c>
      <c r="N82" s="25" t="str">
        <f aca="false">IF(OR(I82="",J82="",I82=G82),"",IF(E82="Buy",(J82-I82)/(I82-G82),(I82-J82)/(G82-I82)))</f>
        <v/>
      </c>
      <c r="O82" s="2" t="str">
        <f aca="false">IF(OR(B82="",K82=""),"",IFERROR(K82-B82,""))</f>
        <v/>
      </c>
      <c r="P82" s="2" t="str">
        <f aca="false">IF(M82="","",IF(M82&gt;0,1,0))</f>
        <v/>
      </c>
    </row>
    <row r="83" customFormat="false" ht="15" hidden="false" customHeight="false" outlineLevel="0" collapsed="false">
      <c r="M83" s="24" t="str">
        <f aca="false">IF(OR(I83="",J83=""),"",IF(E83="Buy",(J83-I83)/I83,(I83-J83)/I83))</f>
        <v/>
      </c>
      <c r="N83" s="25" t="str">
        <f aca="false">IF(OR(I83="",J83="",I83=G83),"",IF(E83="Buy",(J83-I83)/(I83-G83),(I83-J83)/(G83-I83)))</f>
        <v/>
      </c>
      <c r="O83" s="2" t="str">
        <f aca="false">IF(OR(B83="",K83=""),"",IFERROR(K83-B83,""))</f>
        <v/>
      </c>
      <c r="P83" s="2" t="str">
        <f aca="false">IF(M83="","",IF(M83&gt;0,1,0))</f>
        <v/>
      </c>
    </row>
    <row r="84" customFormat="false" ht="15" hidden="false" customHeight="false" outlineLevel="0" collapsed="false">
      <c r="M84" s="24" t="str">
        <f aca="false">IF(OR(I84="",J84=""),"",IF(E84="Buy",(J84-I84)/I84,(I84-J84)/I84))</f>
        <v/>
      </c>
      <c r="N84" s="25" t="str">
        <f aca="false">IF(OR(I84="",J84="",I84=G84),"",IF(E84="Buy",(J84-I84)/(I84-G84),(I84-J84)/(G84-I84)))</f>
        <v/>
      </c>
      <c r="O84" s="2" t="str">
        <f aca="false">IF(OR(B84="",K84=""),"",IFERROR(K84-B84,""))</f>
        <v/>
      </c>
      <c r="P84" s="2" t="str">
        <f aca="false">IF(M84="","",IF(M84&gt;0,1,0))</f>
        <v/>
      </c>
    </row>
    <row r="85" customFormat="false" ht="15" hidden="false" customHeight="false" outlineLevel="0" collapsed="false">
      <c r="M85" s="24" t="str">
        <f aca="false">IF(OR(I85="",J85=""),"",IF(E85="Buy",(J85-I85)/I85,(I85-J85)/I85))</f>
        <v/>
      </c>
      <c r="N85" s="25" t="str">
        <f aca="false">IF(OR(I85="",J85="",I85=G85),"",IF(E85="Buy",(J85-I85)/(I85-G85),(I85-J85)/(G85-I85)))</f>
        <v/>
      </c>
      <c r="O85" s="2" t="str">
        <f aca="false">IF(OR(B85="",K85=""),"",IFERROR(K85-B85,""))</f>
        <v/>
      </c>
      <c r="P85" s="2" t="str">
        <f aca="false">IF(M85="","",IF(M85&gt;0,1,0))</f>
        <v/>
      </c>
    </row>
    <row r="86" customFormat="false" ht="15" hidden="false" customHeight="false" outlineLevel="0" collapsed="false">
      <c r="M86" s="24" t="str">
        <f aca="false">IF(OR(I86="",J86=""),"",IF(E86="Buy",(J86-I86)/I86,(I86-J86)/I86))</f>
        <v/>
      </c>
      <c r="N86" s="25" t="str">
        <f aca="false">IF(OR(I86="",J86="",I86=G86),"",IF(E86="Buy",(J86-I86)/(I86-G86),(I86-J86)/(G86-I86)))</f>
        <v/>
      </c>
      <c r="O86" s="2" t="str">
        <f aca="false">IF(OR(B86="",K86=""),"",IFERROR(K86-B86,""))</f>
        <v/>
      </c>
      <c r="P86" s="2" t="str">
        <f aca="false">IF(M86="","",IF(M86&gt;0,1,0))</f>
        <v/>
      </c>
    </row>
    <row r="87" customFormat="false" ht="15" hidden="false" customHeight="false" outlineLevel="0" collapsed="false">
      <c r="M87" s="24" t="str">
        <f aca="false">IF(OR(I87="",J87=""),"",IF(E87="Buy",(J87-I87)/I87,(I87-J87)/I87))</f>
        <v/>
      </c>
      <c r="N87" s="25" t="str">
        <f aca="false">IF(OR(I87="",J87="",I87=G87),"",IF(E87="Buy",(J87-I87)/(I87-G87),(I87-J87)/(G87-I87)))</f>
        <v/>
      </c>
      <c r="O87" s="2" t="str">
        <f aca="false">IF(OR(B87="",K87=""),"",IFERROR(K87-B87,""))</f>
        <v/>
      </c>
      <c r="P87" s="2" t="str">
        <f aca="false">IF(M87="","",IF(M87&gt;0,1,0))</f>
        <v/>
      </c>
    </row>
    <row r="88" customFormat="false" ht="15" hidden="false" customHeight="false" outlineLevel="0" collapsed="false">
      <c r="M88" s="24" t="str">
        <f aca="false">IF(OR(I88="",J88=""),"",IF(E88="Buy",(J88-I88)/I88,(I88-J88)/I88))</f>
        <v/>
      </c>
      <c r="N88" s="25" t="str">
        <f aca="false">IF(OR(I88="",J88="",I88=G88),"",IF(E88="Buy",(J88-I88)/(I88-G88),(I88-J88)/(G88-I88)))</f>
        <v/>
      </c>
      <c r="O88" s="2" t="str">
        <f aca="false">IF(OR(B88="",K88=""),"",IFERROR(K88-B88,""))</f>
        <v/>
      </c>
      <c r="P88" s="2" t="str">
        <f aca="false">IF(M88="","",IF(M88&gt;0,1,0))</f>
        <v/>
      </c>
    </row>
    <row r="89" customFormat="false" ht="15" hidden="false" customHeight="false" outlineLevel="0" collapsed="false">
      <c r="M89" s="24" t="str">
        <f aca="false">IF(OR(I89="",J89=""),"",IF(E89="Buy",(J89-I89)/I89,(I89-J89)/I89))</f>
        <v/>
      </c>
      <c r="N89" s="25" t="str">
        <f aca="false">IF(OR(I89="",J89="",I89=G89),"",IF(E89="Buy",(J89-I89)/(I89-G89),(I89-J89)/(G89-I89)))</f>
        <v/>
      </c>
      <c r="O89" s="2" t="str">
        <f aca="false">IF(OR(B89="",K89=""),"",IFERROR(K89-B89,""))</f>
        <v/>
      </c>
      <c r="P89" s="2" t="str">
        <f aca="false">IF(M89="","",IF(M89&gt;0,1,0))</f>
        <v/>
      </c>
    </row>
    <row r="90" customFormat="false" ht="15" hidden="false" customHeight="false" outlineLevel="0" collapsed="false">
      <c r="M90" s="24" t="str">
        <f aca="false">IF(OR(I90="",J90=""),"",IF(E90="Buy",(J90-I90)/I90,(I90-J90)/I90))</f>
        <v/>
      </c>
      <c r="N90" s="25" t="str">
        <f aca="false">IF(OR(I90="",J90="",I90=G90),"",IF(E90="Buy",(J90-I90)/(I90-G90),(I90-J90)/(G90-I90)))</f>
        <v/>
      </c>
      <c r="O90" s="2" t="str">
        <f aca="false">IF(OR(B90="",K90=""),"",IFERROR(K90-B90,""))</f>
        <v/>
      </c>
      <c r="P90" s="2" t="str">
        <f aca="false">IF(M90="","",IF(M90&gt;0,1,0))</f>
        <v/>
      </c>
    </row>
    <row r="91" customFormat="false" ht="15" hidden="false" customHeight="false" outlineLevel="0" collapsed="false">
      <c r="M91" s="24" t="str">
        <f aca="false">IF(OR(I91="",J91=""),"",IF(E91="Buy",(J91-I91)/I91,(I91-J91)/I91))</f>
        <v/>
      </c>
      <c r="N91" s="25" t="str">
        <f aca="false">IF(OR(I91="",J91="",I91=G91),"",IF(E91="Buy",(J91-I91)/(I91-G91),(I91-J91)/(G91-I91)))</f>
        <v/>
      </c>
      <c r="O91" s="2" t="str">
        <f aca="false">IF(OR(B91="",K91=""),"",IFERROR(K91-B91,""))</f>
        <v/>
      </c>
      <c r="P91" s="2" t="str">
        <f aca="false">IF(M91="","",IF(M91&gt;0,1,0))</f>
        <v/>
      </c>
    </row>
    <row r="92" customFormat="false" ht="15" hidden="false" customHeight="false" outlineLevel="0" collapsed="false">
      <c r="M92" s="24" t="str">
        <f aca="false">IF(OR(I92="",J92=""),"",IF(E92="Buy",(J92-I92)/I92,(I92-J92)/I92))</f>
        <v/>
      </c>
      <c r="N92" s="25" t="str">
        <f aca="false">IF(OR(I92="",J92="",I92=G92),"",IF(E92="Buy",(J92-I92)/(I92-G92),(I92-J92)/(G92-I92)))</f>
        <v/>
      </c>
      <c r="O92" s="2" t="str">
        <f aca="false">IF(OR(B92="",K92=""),"",IFERROR(K92-B92,""))</f>
        <v/>
      </c>
      <c r="P92" s="2" t="str">
        <f aca="false">IF(M92="","",IF(M92&gt;0,1,0))</f>
        <v/>
      </c>
    </row>
    <row r="93" customFormat="false" ht="15" hidden="false" customHeight="false" outlineLevel="0" collapsed="false">
      <c r="M93" s="24" t="str">
        <f aca="false">IF(OR(I93="",J93=""),"",IF(E93="Buy",(J93-I93)/I93,(I93-J93)/I93))</f>
        <v/>
      </c>
      <c r="N93" s="25" t="str">
        <f aca="false">IF(OR(I93="",J93="",I93=G93),"",IF(E93="Buy",(J93-I93)/(I93-G93),(I93-J93)/(G93-I93)))</f>
        <v/>
      </c>
      <c r="O93" s="2" t="str">
        <f aca="false">IF(OR(B93="",K93=""),"",IFERROR(K93-B93,""))</f>
        <v/>
      </c>
      <c r="P93" s="2" t="str">
        <f aca="false">IF(M93="","",IF(M93&gt;0,1,0))</f>
        <v/>
      </c>
    </row>
    <row r="94" customFormat="false" ht="15" hidden="false" customHeight="false" outlineLevel="0" collapsed="false">
      <c r="M94" s="24" t="str">
        <f aca="false">IF(OR(I94="",J94=""),"",IF(E94="Buy",(J94-I94)/I94,(I94-J94)/I94))</f>
        <v/>
      </c>
      <c r="N94" s="25" t="str">
        <f aca="false">IF(OR(I94="",J94="",I94=G94),"",IF(E94="Buy",(J94-I94)/(I94-G94),(I94-J94)/(G94-I94)))</f>
        <v/>
      </c>
      <c r="O94" s="2" t="str">
        <f aca="false">IF(OR(B94="",K94=""),"",IFERROR(K94-B94,""))</f>
        <v/>
      </c>
      <c r="P94" s="2" t="str">
        <f aca="false">IF(M94="","",IF(M94&gt;0,1,0))</f>
        <v/>
      </c>
    </row>
    <row r="95" customFormat="false" ht="15" hidden="false" customHeight="false" outlineLevel="0" collapsed="false">
      <c r="M95" s="24" t="str">
        <f aca="false">IF(OR(I95="",J95=""),"",IF(E95="Buy",(J95-I95)/I95,(I95-J95)/I95))</f>
        <v/>
      </c>
      <c r="N95" s="25" t="str">
        <f aca="false">IF(OR(I95="",J95="",I95=G95),"",IF(E95="Buy",(J95-I95)/(I95-G95),(I95-J95)/(G95-I95)))</f>
        <v/>
      </c>
      <c r="O95" s="2" t="str">
        <f aca="false">IF(OR(B95="",K95=""),"",IFERROR(K95-B95,""))</f>
        <v/>
      </c>
      <c r="P95" s="2" t="str">
        <f aca="false">IF(M95="","",IF(M95&gt;0,1,0))</f>
        <v/>
      </c>
    </row>
    <row r="96" customFormat="false" ht="15" hidden="false" customHeight="false" outlineLevel="0" collapsed="false">
      <c r="M96" s="24" t="str">
        <f aca="false">IF(OR(I96="",J96=""),"",IF(E96="Buy",(J96-I96)/I96,(I96-J96)/I96))</f>
        <v/>
      </c>
      <c r="N96" s="25" t="str">
        <f aca="false">IF(OR(I96="",J96="",I96=G96),"",IF(E96="Buy",(J96-I96)/(I96-G96),(I96-J96)/(G96-I96)))</f>
        <v/>
      </c>
      <c r="O96" s="2" t="str">
        <f aca="false">IF(OR(B96="",K96=""),"",IFERROR(K96-B96,""))</f>
        <v/>
      </c>
      <c r="P96" s="2" t="str">
        <f aca="false">IF(M96="","",IF(M96&gt;0,1,0))</f>
        <v/>
      </c>
    </row>
    <row r="97" customFormat="false" ht="15" hidden="false" customHeight="false" outlineLevel="0" collapsed="false">
      <c r="M97" s="24" t="str">
        <f aca="false">IF(OR(I97="",J97=""),"",IF(E97="Buy",(J97-I97)/I97,(I97-J97)/I97))</f>
        <v/>
      </c>
      <c r="N97" s="25" t="str">
        <f aca="false">IF(OR(I97="",J97="",I97=G97),"",IF(E97="Buy",(J97-I97)/(I97-G97),(I97-J97)/(G97-I97)))</f>
        <v/>
      </c>
      <c r="O97" s="2" t="str">
        <f aca="false">IF(OR(B97="",K97=""),"",IFERROR(K97-B97,""))</f>
        <v/>
      </c>
      <c r="P97" s="2" t="str">
        <f aca="false">IF(M97="","",IF(M97&gt;0,1,0))</f>
        <v/>
      </c>
    </row>
    <row r="98" customFormat="false" ht="15" hidden="false" customHeight="false" outlineLevel="0" collapsed="false">
      <c r="M98" s="24" t="str">
        <f aca="false">IF(OR(I98="",J98=""),"",IF(E98="Buy",(J98-I98)/I98,(I98-J98)/I98))</f>
        <v/>
      </c>
      <c r="N98" s="25" t="str">
        <f aca="false">IF(OR(I98="",J98="",I98=G98),"",IF(E98="Buy",(J98-I98)/(I98-G98),(I98-J98)/(G98-I98)))</f>
        <v/>
      </c>
      <c r="O98" s="2" t="str">
        <f aca="false">IF(OR(B98="",K98=""),"",IFERROR(K98-B98,""))</f>
        <v/>
      </c>
      <c r="P98" s="2" t="str">
        <f aca="false">IF(M98="","",IF(M98&gt;0,1,0))</f>
        <v/>
      </c>
    </row>
    <row r="99" customFormat="false" ht="15" hidden="false" customHeight="false" outlineLevel="0" collapsed="false">
      <c r="M99" s="24" t="str">
        <f aca="false">IF(OR(I99="",J99=""),"",IF(E99="Buy",(J99-I99)/I99,(I99-J99)/I99))</f>
        <v/>
      </c>
      <c r="N99" s="25" t="str">
        <f aca="false">IF(OR(I99="",J99="",I99=G99),"",IF(E99="Buy",(J99-I99)/(I99-G99),(I99-J99)/(G99-I99)))</f>
        <v/>
      </c>
      <c r="O99" s="2" t="str">
        <f aca="false">IF(OR(B99="",K99=""),"",IFERROR(K99-B99,""))</f>
        <v/>
      </c>
      <c r="P99" s="2" t="str">
        <f aca="false">IF(M99="","",IF(M99&gt;0,1,0))</f>
        <v/>
      </c>
    </row>
    <row r="100" customFormat="false" ht="15" hidden="false" customHeight="false" outlineLevel="0" collapsed="false">
      <c r="M100" s="24" t="str">
        <f aca="false">IF(OR(I100="",J100=""),"",IF(E100="Buy",(J100-I100)/I100,(I100-J100)/I100))</f>
        <v/>
      </c>
      <c r="N100" s="25" t="str">
        <f aca="false">IF(OR(I100="",J100="",I100=G100),"",IF(E100="Buy",(J100-I100)/(I100-G100),(I100-J100)/(G100-I100)))</f>
        <v/>
      </c>
      <c r="O100" s="2" t="str">
        <f aca="false">IF(OR(B100="",K100=""),"",IFERROR(K100-B100,""))</f>
        <v/>
      </c>
      <c r="P100" s="2" t="str">
        <f aca="false">IF(M100="","",IF(M100&gt;0,1,0))</f>
        <v/>
      </c>
    </row>
    <row r="101" customFormat="false" ht="15" hidden="false" customHeight="false" outlineLevel="0" collapsed="false">
      <c r="M101" s="24" t="str">
        <f aca="false">IF(OR(I101="",J101=""),"",IF(E101="Buy",(J101-I101)/I101,(I101-J101)/I101))</f>
        <v/>
      </c>
      <c r="N101" s="25" t="str">
        <f aca="false">IF(OR(I101="",J101="",I101=G101),"",IF(E101="Buy",(J101-I101)/(I101-G101),(I101-J101)/(G101-I101)))</f>
        <v/>
      </c>
      <c r="O101" s="2" t="str">
        <f aca="false">IF(OR(B101="",K101=""),"",IFERROR(K101-B101,""))</f>
        <v/>
      </c>
      <c r="P101" s="2" t="str">
        <f aca="false">IF(M101="","",IF(M101&gt;0,1,0))</f>
        <v/>
      </c>
    </row>
    <row r="102" customFormat="false" ht="15" hidden="false" customHeight="false" outlineLevel="0" collapsed="false">
      <c r="M102" s="24" t="str">
        <f aca="false">IF(OR(I102="",J102=""),"",IF(E102="Buy",(J102-I102)/I102,(I102-J102)/I102))</f>
        <v/>
      </c>
      <c r="N102" s="25" t="str">
        <f aca="false">IF(OR(I102="",J102="",I102=G102),"",IF(E102="Buy",(J102-I102)/(I102-G102),(I102-J102)/(G102-I102)))</f>
        <v/>
      </c>
      <c r="O102" s="2" t="str">
        <f aca="false">IF(OR(B102="",K102=""),"",IFERROR(K102-B102,""))</f>
        <v/>
      </c>
      <c r="P102" s="2" t="str">
        <f aca="false">IF(M102="","",IF(M102&gt;0,1,0))</f>
        <v/>
      </c>
    </row>
    <row r="103" customFormat="false" ht="15" hidden="false" customHeight="false" outlineLevel="0" collapsed="false">
      <c r="M103" s="24" t="str">
        <f aca="false">IF(OR(I103="",J103=""),"",IF(E103="Buy",(J103-I103)/I103,(I103-J103)/I103))</f>
        <v/>
      </c>
      <c r="N103" s="25" t="str">
        <f aca="false">IF(OR(I103="",J103="",I103=G103),"",IF(E103="Buy",(J103-I103)/(I103-G103),(I103-J103)/(G103-I103)))</f>
        <v/>
      </c>
      <c r="O103" s="2" t="str">
        <f aca="false">IF(OR(B103="",K103=""),"",IFERROR(K103-B103,""))</f>
        <v/>
      </c>
      <c r="P103" s="2" t="str">
        <f aca="false">IF(M103="","",IF(M103&gt;0,1,0))</f>
        <v/>
      </c>
    </row>
    <row r="104" customFormat="false" ht="15" hidden="false" customHeight="false" outlineLevel="0" collapsed="false">
      <c r="M104" s="24" t="str">
        <f aca="false">IF(OR(I104="",J104=""),"",IF(E104="Buy",(J104-I104)/I104,(I104-J104)/I104))</f>
        <v/>
      </c>
      <c r="N104" s="25" t="str">
        <f aca="false">IF(OR(I104="",J104="",I104=G104),"",IF(E104="Buy",(J104-I104)/(I104-G104),(I104-J104)/(G104-I104)))</f>
        <v/>
      </c>
      <c r="O104" s="2" t="str">
        <f aca="false">IF(OR(B104="",K104=""),"",IFERROR(K104-B104,""))</f>
        <v/>
      </c>
      <c r="P104" s="2" t="str">
        <f aca="false">IF(M104="","",IF(M104&gt;0,1,0))</f>
        <v/>
      </c>
    </row>
    <row r="105" customFormat="false" ht="15" hidden="false" customHeight="false" outlineLevel="0" collapsed="false">
      <c r="M105" s="24" t="str">
        <f aca="false">IF(OR(I105="",J105=""),"",IF(E105="Buy",(J105-I105)/I105,(I105-J105)/I105))</f>
        <v/>
      </c>
      <c r="N105" s="25" t="str">
        <f aca="false">IF(OR(I105="",J105="",I105=G105),"",IF(E105="Buy",(J105-I105)/(I105-G105),(I105-J105)/(G105-I105)))</f>
        <v/>
      </c>
      <c r="O105" s="2" t="str">
        <f aca="false">IF(OR(B105="",K105=""),"",IFERROR(K105-B105,""))</f>
        <v/>
      </c>
      <c r="P105" s="2" t="str">
        <f aca="false">IF(M105="","",IF(M105&gt;0,1,0))</f>
        <v/>
      </c>
    </row>
    <row r="106" customFormat="false" ht="15" hidden="false" customHeight="false" outlineLevel="0" collapsed="false">
      <c r="M106" s="24" t="str">
        <f aca="false">IF(OR(I106="",J106=""),"",IF(E106="Buy",(J106-I106)/I106,(I106-J106)/I106))</f>
        <v/>
      </c>
      <c r="N106" s="25" t="str">
        <f aca="false">IF(OR(I106="",J106="",I106=G106),"",IF(E106="Buy",(J106-I106)/(I106-G106),(I106-J106)/(G106-I106)))</f>
        <v/>
      </c>
      <c r="O106" s="2" t="str">
        <f aca="false">IF(OR(B106="",K106=""),"",IFERROR(K106-B106,""))</f>
        <v/>
      </c>
      <c r="P106" s="2" t="str">
        <f aca="false">IF(M106="","",IF(M106&gt;0,1,0))</f>
        <v/>
      </c>
    </row>
    <row r="107" customFormat="false" ht="15" hidden="false" customHeight="false" outlineLevel="0" collapsed="false">
      <c r="M107" s="24" t="str">
        <f aca="false">IF(OR(I107="",J107=""),"",IF(E107="Buy",(J107-I107)/I107,(I107-J107)/I107))</f>
        <v/>
      </c>
      <c r="N107" s="25" t="str">
        <f aca="false">IF(OR(I107="",J107="",I107=G107),"",IF(E107="Buy",(J107-I107)/(I107-G107),(I107-J107)/(G107-I107)))</f>
        <v/>
      </c>
      <c r="O107" s="2" t="str">
        <f aca="false">IF(OR(B107="",K107=""),"",IFERROR(K107-B107,""))</f>
        <v/>
      </c>
      <c r="P107" s="2" t="str">
        <f aca="false">IF(M107="","",IF(M107&gt;0,1,0))</f>
        <v/>
      </c>
    </row>
    <row r="108" customFormat="false" ht="15" hidden="false" customHeight="false" outlineLevel="0" collapsed="false">
      <c r="M108" s="24" t="str">
        <f aca="false">IF(OR(I108="",J108=""),"",IF(E108="Buy",(J108-I108)/I108,(I108-J108)/I108))</f>
        <v/>
      </c>
      <c r="N108" s="25" t="str">
        <f aca="false">IF(OR(I108="",J108="",I108=G108),"",IF(E108="Buy",(J108-I108)/(I108-G108),(I108-J108)/(G108-I108)))</f>
        <v/>
      </c>
      <c r="O108" s="2" t="str">
        <f aca="false">IF(OR(B108="",K108=""),"",IFERROR(K108-B108,""))</f>
        <v/>
      </c>
      <c r="P108" s="2" t="str">
        <f aca="false">IF(M108="","",IF(M108&gt;0,1,0))</f>
        <v/>
      </c>
    </row>
    <row r="109" customFormat="false" ht="15" hidden="false" customHeight="false" outlineLevel="0" collapsed="false">
      <c r="M109" s="24" t="str">
        <f aca="false">IF(OR(I109="",J109=""),"",IF(E109="Buy",(J109-I109)/I109,(I109-J109)/I109))</f>
        <v/>
      </c>
      <c r="N109" s="25" t="str">
        <f aca="false">IF(OR(I109="",J109="",I109=G109),"",IF(E109="Buy",(J109-I109)/(I109-G109),(I109-J109)/(G109-I109)))</f>
        <v/>
      </c>
      <c r="O109" s="2" t="str">
        <f aca="false">IF(OR(B109="",K109=""),"",IFERROR(K109-B109,""))</f>
        <v/>
      </c>
      <c r="P109" s="2" t="str">
        <f aca="false">IF(M109="","",IF(M109&gt;0,1,0))</f>
        <v/>
      </c>
    </row>
    <row r="110" customFormat="false" ht="15" hidden="false" customHeight="false" outlineLevel="0" collapsed="false">
      <c r="M110" s="24" t="str">
        <f aca="false">IF(OR(I110="",J110=""),"",IF(E110="Buy",(J110-I110)/I110,(I110-J110)/I110))</f>
        <v/>
      </c>
      <c r="N110" s="25" t="str">
        <f aca="false">IF(OR(I110="",J110="",I110=G110),"",IF(E110="Buy",(J110-I110)/(I110-G110),(I110-J110)/(G110-I110)))</f>
        <v/>
      </c>
      <c r="O110" s="2" t="str">
        <f aca="false">IF(OR(B110="",K110=""),"",IFERROR(K110-B110,""))</f>
        <v/>
      </c>
      <c r="P110" s="2" t="str">
        <f aca="false">IF(M110="","",IF(M110&gt;0,1,0))</f>
        <v/>
      </c>
    </row>
    <row r="111" customFormat="false" ht="15" hidden="false" customHeight="false" outlineLevel="0" collapsed="false">
      <c r="M111" s="24" t="str">
        <f aca="false">IF(OR(I111="",J111=""),"",IF(E111="Buy",(J111-I111)/I111,(I111-J111)/I111))</f>
        <v/>
      </c>
      <c r="N111" s="25" t="str">
        <f aca="false">IF(OR(I111="",J111="",I111=G111),"",IF(E111="Buy",(J111-I111)/(I111-G111),(I111-J111)/(G111-I111)))</f>
        <v/>
      </c>
      <c r="O111" s="2" t="str">
        <f aca="false">IF(OR(B111="",K111=""),"",IFERROR(K111-B111,""))</f>
        <v/>
      </c>
      <c r="P111" s="2" t="str">
        <f aca="false">IF(M111="","",IF(M111&gt;0,1,0))</f>
        <v/>
      </c>
    </row>
    <row r="112" customFormat="false" ht="15" hidden="false" customHeight="false" outlineLevel="0" collapsed="false">
      <c r="M112" s="24" t="str">
        <f aca="false">IF(OR(I112="",J112=""),"",IF(E112="Buy",(J112-I112)/I112,(I112-J112)/I112))</f>
        <v/>
      </c>
      <c r="N112" s="25" t="str">
        <f aca="false">IF(OR(I112="",J112="",I112=G112),"",IF(E112="Buy",(J112-I112)/(I112-G112),(I112-J112)/(G112-I112)))</f>
        <v/>
      </c>
      <c r="O112" s="2" t="str">
        <f aca="false">IF(OR(B112="",K112=""),"",IFERROR(K112-B112,""))</f>
        <v/>
      </c>
      <c r="P112" s="2" t="str">
        <f aca="false">IF(M112="","",IF(M112&gt;0,1,0))</f>
        <v/>
      </c>
    </row>
    <row r="113" customFormat="false" ht="15" hidden="false" customHeight="false" outlineLevel="0" collapsed="false">
      <c r="M113" s="24" t="str">
        <f aca="false">IF(OR(I113="",J113=""),"",IF(E113="Buy",(J113-I113)/I113,(I113-J113)/I113))</f>
        <v/>
      </c>
      <c r="N113" s="25" t="str">
        <f aca="false">IF(OR(I113="",J113="",I113=G113),"",IF(E113="Buy",(J113-I113)/(I113-G113),(I113-J113)/(G113-I113)))</f>
        <v/>
      </c>
      <c r="O113" s="2" t="str">
        <f aca="false">IF(OR(B113="",K113=""),"",IFERROR(K113-B113,""))</f>
        <v/>
      </c>
      <c r="P113" s="2" t="str">
        <f aca="false">IF(M113="","",IF(M113&gt;0,1,0))</f>
        <v/>
      </c>
    </row>
    <row r="114" customFormat="false" ht="15" hidden="false" customHeight="false" outlineLevel="0" collapsed="false">
      <c r="M114" s="24" t="str">
        <f aca="false">IF(OR(I114="",J114=""),"",IF(E114="Buy",(J114-I114)/I114,(I114-J114)/I114))</f>
        <v/>
      </c>
      <c r="N114" s="25" t="str">
        <f aca="false">IF(OR(I114="",J114="",I114=G114),"",IF(E114="Buy",(J114-I114)/(I114-G114),(I114-J114)/(G114-I114)))</f>
        <v/>
      </c>
      <c r="O114" s="2" t="str">
        <f aca="false">IF(OR(B114="",K114=""),"",IFERROR(K114-B114,""))</f>
        <v/>
      </c>
      <c r="P114" s="2" t="str">
        <f aca="false">IF(M114="","",IF(M114&gt;0,1,0))</f>
        <v/>
      </c>
    </row>
    <row r="115" customFormat="false" ht="15" hidden="false" customHeight="false" outlineLevel="0" collapsed="false">
      <c r="M115" s="24" t="str">
        <f aca="false">IF(OR(I115="",J115=""),"",IF(E115="Buy",(J115-I115)/I115,(I115-J115)/I115))</f>
        <v/>
      </c>
      <c r="N115" s="25" t="str">
        <f aca="false">IF(OR(I115="",J115="",I115=G115),"",IF(E115="Buy",(J115-I115)/(I115-G115),(I115-J115)/(G115-I115)))</f>
        <v/>
      </c>
      <c r="O115" s="2" t="str">
        <f aca="false">IF(OR(B115="",K115=""),"",IFERROR(K115-B115,""))</f>
        <v/>
      </c>
      <c r="P115" s="2" t="str">
        <f aca="false">IF(M115="","",IF(M115&gt;0,1,0))</f>
        <v/>
      </c>
    </row>
    <row r="116" customFormat="false" ht="15" hidden="false" customHeight="false" outlineLevel="0" collapsed="false">
      <c r="M116" s="24" t="str">
        <f aca="false">IF(OR(I116="",J116=""),"",IF(E116="Buy",(J116-I116)/I116,(I116-J116)/I116))</f>
        <v/>
      </c>
      <c r="N116" s="25" t="str">
        <f aca="false">IF(OR(I116="",J116="",I116=G116),"",IF(E116="Buy",(J116-I116)/(I116-G116),(I116-J116)/(G116-I116)))</f>
        <v/>
      </c>
      <c r="O116" s="2" t="str">
        <f aca="false">IF(OR(B116="",K116=""),"",IFERROR(K116-B116,""))</f>
        <v/>
      </c>
      <c r="P116" s="2" t="str">
        <f aca="false">IF(M116="","",IF(M116&gt;0,1,0))</f>
        <v/>
      </c>
    </row>
    <row r="117" customFormat="false" ht="15" hidden="false" customHeight="false" outlineLevel="0" collapsed="false">
      <c r="M117" s="24" t="str">
        <f aca="false">IF(OR(I117="",J117=""),"",IF(E117="Buy",(J117-I117)/I117,(I117-J117)/I117))</f>
        <v/>
      </c>
      <c r="N117" s="25" t="str">
        <f aca="false">IF(OR(I117="",J117="",I117=G117),"",IF(E117="Buy",(J117-I117)/(I117-G117),(I117-J117)/(G117-I117)))</f>
        <v/>
      </c>
      <c r="O117" s="2" t="str">
        <f aca="false">IF(OR(B117="",K117=""),"",IFERROR(K117-B117,""))</f>
        <v/>
      </c>
      <c r="P117" s="2" t="str">
        <f aca="false">IF(M117="","",IF(M117&gt;0,1,0))</f>
        <v/>
      </c>
    </row>
    <row r="118" customFormat="false" ht="15" hidden="false" customHeight="false" outlineLevel="0" collapsed="false">
      <c r="M118" s="24" t="str">
        <f aca="false">IF(OR(I118="",J118=""),"",IF(E118="Buy",(J118-I118)/I118,(I118-J118)/I118))</f>
        <v/>
      </c>
      <c r="N118" s="25" t="str">
        <f aca="false">IF(OR(I118="",J118="",I118=G118),"",IF(E118="Buy",(J118-I118)/(I118-G118),(I118-J118)/(G118-I118)))</f>
        <v/>
      </c>
      <c r="O118" s="2" t="str">
        <f aca="false">IF(OR(B118="",K118=""),"",IFERROR(K118-B118,""))</f>
        <v/>
      </c>
      <c r="P118" s="2" t="str">
        <f aca="false">IF(M118="","",IF(M118&gt;0,1,0))</f>
        <v/>
      </c>
    </row>
    <row r="119" customFormat="false" ht="15" hidden="false" customHeight="false" outlineLevel="0" collapsed="false">
      <c r="M119" s="24" t="str">
        <f aca="false">IF(OR(I119="",J119=""),"",IF(E119="Buy",(J119-I119)/I119,(I119-J119)/I119))</f>
        <v/>
      </c>
      <c r="N119" s="25" t="str">
        <f aca="false">IF(OR(I119="",J119="",I119=G119),"",IF(E119="Buy",(J119-I119)/(I119-G119),(I119-J119)/(G119-I119)))</f>
        <v/>
      </c>
      <c r="O119" s="2" t="str">
        <f aca="false">IF(OR(B119="",K119=""),"",IFERROR(K119-B119,""))</f>
        <v/>
      </c>
      <c r="P119" s="2" t="str">
        <f aca="false">IF(M119="","",IF(M119&gt;0,1,0))</f>
        <v/>
      </c>
    </row>
    <row r="120" customFormat="false" ht="15" hidden="false" customHeight="false" outlineLevel="0" collapsed="false">
      <c r="M120" s="24" t="str">
        <f aca="false">IF(OR(I120="",J120=""),"",IF(E120="Buy",(J120-I120)/I120,(I120-J120)/I120))</f>
        <v/>
      </c>
      <c r="N120" s="25" t="str">
        <f aca="false">IF(OR(I120="",J120="",I120=G120),"",IF(E120="Buy",(J120-I120)/(I120-G120),(I120-J120)/(G120-I120)))</f>
        <v/>
      </c>
      <c r="O120" s="2" t="str">
        <f aca="false">IF(OR(B120="",K120=""),"",IFERROR(K120-B120,""))</f>
        <v/>
      </c>
      <c r="P120" s="2" t="str">
        <f aca="false">IF(M120="","",IF(M120&gt;0,1,0))</f>
        <v/>
      </c>
    </row>
    <row r="121" customFormat="false" ht="15" hidden="false" customHeight="false" outlineLevel="0" collapsed="false">
      <c r="M121" s="24" t="str">
        <f aca="false">IF(OR(I121="",J121=""),"",IF(E121="Buy",(J121-I121)/I121,(I121-J121)/I121))</f>
        <v/>
      </c>
      <c r="N121" s="25" t="str">
        <f aca="false">IF(OR(I121="",J121="",I121=G121),"",IF(E121="Buy",(J121-I121)/(I121-G121),(I121-J121)/(G121-I121)))</f>
        <v/>
      </c>
      <c r="O121" s="2" t="str">
        <f aca="false">IF(OR(B121="",K121=""),"",IFERROR(K121-B121,""))</f>
        <v/>
      </c>
      <c r="P121" s="2" t="str">
        <f aca="false">IF(M121="","",IF(M121&gt;0,1,0))</f>
        <v/>
      </c>
    </row>
    <row r="122" customFormat="false" ht="15" hidden="false" customHeight="false" outlineLevel="0" collapsed="false">
      <c r="M122" s="24" t="str">
        <f aca="false">IF(OR(I122="",J122=""),"",IF(E122="Buy",(J122-I122)/I122,(I122-J122)/I122))</f>
        <v/>
      </c>
      <c r="N122" s="25" t="str">
        <f aca="false">IF(OR(I122="",J122="",I122=G122),"",IF(E122="Buy",(J122-I122)/(I122-G122),(I122-J122)/(G122-I122)))</f>
        <v/>
      </c>
      <c r="O122" s="2" t="str">
        <f aca="false">IF(OR(B122="",K122=""),"",IFERROR(K122-B122,""))</f>
        <v/>
      </c>
      <c r="P122" s="2" t="str">
        <f aca="false">IF(M122="","",IF(M122&gt;0,1,0))</f>
        <v/>
      </c>
    </row>
    <row r="123" customFormat="false" ht="15" hidden="false" customHeight="false" outlineLevel="0" collapsed="false">
      <c r="M123" s="24" t="str">
        <f aca="false">IF(OR(I123="",J123=""),"",IF(E123="Buy",(J123-I123)/I123,(I123-J123)/I123))</f>
        <v/>
      </c>
      <c r="N123" s="25" t="str">
        <f aca="false">IF(OR(I123="",J123="",I123=G123),"",IF(E123="Buy",(J123-I123)/(I123-G123),(I123-J123)/(G123-I123)))</f>
        <v/>
      </c>
      <c r="O123" s="2" t="str">
        <f aca="false">IF(OR(B123="",K123=""),"",IFERROR(K123-B123,""))</f>
        <v/>
      </c>
      <c r="P123" s="2" t="str">
        <f aca="false">IF(M123="","",IF(M123&gt;0,1,0))</f>
        <v/>
      </c>
    </row>
    <row r="124" customFormat="false" ht="15" hidden="false" customHeight="false" outlineLevel="0" collapsed="false">
      <c r="M124" s="24" t="str">
        <f aca="false">IF(OR(I124="",J124=""),"",IF(E124="Buy",(J124-I124)/I124,(I124-J124)/I124))</f>
        <v/>
      </c>
      <c r="N124" s="25" t="str">
        <f aca="false">IF(OR(I124="",J124="",I124=G124),"",IF(E124="Buy",(J124-I124)/(I124-G124),(I124-J124)/(G124-I124)))</f>
        <v/>
      </c>
      <c r="O124" s="2" t="str">
        <f aca="false">IF(OR(B124="",K124=""),"",IFERROR(K124-B124,""))</f>
        <v/>
      </c>
      <c r="P124" s="2" t="str">
        <f aca="false">IF(M124="","",IF(M124&gt;0,1,0))</f>
        <v/>
      </c>
    </row>
    <row r="125" customFormat="false" ht="15" hidden="false" customHeight="false" outlineLevel="0" collapsed="false">
      <c r="M125" s="24" t="str">
        <f aca="false">IF(OR(I125="",J125=""),"",IF(E125="Buy",(J125-I125)/I125,(I125-J125)/I125))</f>
        <v/>
      </c>
      <c r="N125" s="25" t="str">
        <f aca="false">IF(OR(I125="",J125="",I125=G125),"",IF(E125="Buy",(J125-I125)/(I125-G125),(I125-J125)/(G125-I125)))</f>
        <v/>
      </c>
      <c r="O125" s="2" t="str">
        <f aca="false">IF(OR(B125="",K125=""),"",IFERROR(K125-B125,""))</f>
        <v/>
      </c>
      <c r="P125" s="2" t="str">
        <f aca="false">IF(M125="","",IF(M125&gt;0,1,0))</f>
        <v/>
      </c>
    </row>
    <row r="126" customFormat="false" ht="15" hidden="false" customHeight="false" outlineLevel="0" collapsed="false">
      <c r="M126" s="24" t="str">
        <f aca="false">IF(OR(I126="",J126=""),"",IF(E126="Buy",(J126-I126)/I126,(I126-J126)/I126))</f>
        <v/>
      </c>
      <c r="N126" s="25" t="str">
        <f aca="false">IF(OR(I126="",J126="",I126=G126),"",IF(E126="Buy",(J126-I126)/(I126-G126),(I126-J126)/(G126-I126)))</f>
        <v/>
      </c>
      <c r="O126" s="2" t="str">
        <f aca="false">IF(OR(B126="",K126=""),"",IFERROR(K126-B126,""))</f>
        <v/>
      </c>
      <c r="P126" s="2" t="str">
        <f aca="false">IF(M126="","",IF(M126&gt;0,1,0))</f>
        <v/>
      </c>
    </row>
    <row r="127" customFormat="false" ht="15" hidden="false" customHeight="false" outlineLevel="0" collapsed="false">
      <c r="M127" s="24" t="str">
        <f aca="false">IF(OR(I127="",J127=""),"",IF(E127="Buy",(J127-I127)/I127,(I127-J127)/I127))</f>
        <v/>
      </c>
      <c r="N127" s="25" t="str">
        <f aca="false">IF(OR(I127="",J127="",I127=G127),"",IF(E127="Buy",(J127-I127)/(I127-G127),(I127-J127)/(G127-I127)))</f>
        <v/>
      </c>
      <c r="O127" s="2" t="str">
        <f aca="false">IF(OR(B127="",K127=""),"",IFERROR(K127-B127,""))</f>
        <v/>
      </c>
      <c r="P127" s="2" t="str">
        <f aca="false">IF(M127="","",IF(M127&gt;0,1,0))</f>
        <v/>
      </c>
    </row>
    <row r="128" customFormat="false" ht="15" hidden="false" customHeight="false" outlineLevel="0" collapsed="false">
      <c r="M128" s="24" t="str">
        <f aca="false">IF(OR(I128="",J128=""),"",IF(E128="Buy",(J128-I128)/I128,(I128-J128)/I128))</f>
        <v/>
      </c>
      <c r="N128" s="25" t="str">
        <f aca="false">IF(OR(I128="",J128="",I128=G128),"",IF(E128="Buy",(J128-I128)/(I128-G128),(I128-J128)/(G128-I128)))</f>
        <v/>
      </c>
      <c r="O128" s="2" t="str">
        <f aca="false">IF(OR(B128="",K128=""),"",IFERROR(K128-B128,""))</f>
        <v/>
      </c>
      <c r="P128" s="2" t="str">
        <f aca="false">IF(M128="","",IF(M128&gt;0,1,0))</f>
        <v/>
      </c>
    </row>
    <row r="129" customFormat="false" ht="15" hidden="false" customHeight="false" outlineLevel="0" collapsed="false">
      <c r="M129" s="24" t="str">
        <f aca="false">IF(OR(I129="",J129=""),"",IF(E129="Buy",(J129-I129)/I129,(I129-J129)/I129))</f>
        <v/>
      </c>
      <c r="N129" s="25" t="str">
        <f aca="false">IF(OR(I129="",J129="",I129=G129),"",IF(E129="Buy",(J129-I129)/(I129-G129),(I129-J129)/(G129-I129)))</f>
        <v/>
      </c>
      <c r="O129" s="2" t="str">
        <f aca="false">IF(OR(B129="",K129=""),"",IFERROR(K129-B129,""))</f>
        <v/>
      </c>
      <c r="P129" s="2" t="str">
        <f aca="false">IF(M129="","",IF(M129&gt;0,1,0))</f>
        <v/>
      </c>
    </row>
    <row r="130" customFormat="false" ht="15" hidden="false" customHeight="false" outlineLevel="0" collapsed="false">
      <c r="M130" s="24" t="str">
        <f aca="false">IF(OR(I130="",J130=""),"",IF(E130="Buy",(J130-I130)/I130,(I130-J130)/I130))</f>
        <v/>
      </c>
      <c r="N130" s="25" t="str">
        <f aca="false">IF(OR(I130="",J130="",I130=G130),"",IF(E130="Buy",(J130-I130)/(I130-G130),(I130-J130)/(G130-I130)))</f>
        <v/>
      </c>
      <c r="O130" s="2" t="str">
        <f aca="false">IF(OR(B130="",K130=""),"",IFERROR(K130-B130,""))</f>
        <v/>
      </c>
      <c r="P130" s="2" t="str">
        <f aca="false">IF(M130="","",IF(M130&gt;0,1,0))</f>
        <v/>
      </c>
    </row>
    <row r="131" customFormat="false" ht="15" hidden="false" customHeight="false" outlineLevel="0" collapsed="false">
      <c r="M131" s="24" t="str">
        <f aca="false">IF(OR(I131="",J131=""),"",IF(E131="Buy",(J131-I131)/I131,(I131-J131)/I131))</f>
        <v/>
      </c>
      <c r="N131" s="25" t="str">
        <f aca="false">IF(OR(I131="",J131="",I131=G131),"",IF(E131="Buy",(J131-I131)/(I131-G131),(I131-J131)/(G131-I131)))</f>
        <v/>
      </c>
      <c r="O131" s="2" t="str">
        <f aca="false">IF(OR(B131="",K131=""),"",IFERROR(K131-B131,""))</f>
        <v/>
      </c>
      <c r="P131" s="2" t="str">
        <f aca="false">IF(M131="","",IF(M131&gt;0,1,0))</f>
        <v/>
      </c>
    </row>
    <row r="132" customFormat="false" ht="15" hidden="false" customHeight="false" outlineLevel="0" collapsed="false">
      <c r="M132" s="24" t="str">
        <f aca="false">IF(OR(I132="",J132=""),"",IF(E132="Buy",(J132-I132)/I132,(I132-J132)/I132))</f>
        <v/>
      </c>
      <c r="N132" s="25" t="str">
        <f aca="false">IF(OR(I132="",J132="",I132=G132),"",IF(E132="Buy",(J132-I132)/(I132-G132),(I132-J132)/(G132-I132)))</f>
        <v/>
      </c>
      <c r="O132" s="2" t="str">
        <f aca="false">IF(OR(B132="",K132=""),"",IFERROR(K132-B132,""))</f>
        <v/>
      </c>
      <c r="P132" s="2" t="str">
        <f aca="false">IF(M132="","",IF(M132&gt;0,1,0))</f>
        <v/>
      </c>
    </row>
    <row r="133" customFormat="false" ht="15" hidden="false" customHeight="false" outlineLevel="0" collapsed="false">
      <c r="M133" s="24" t="str">
        <f aca="false">IF(OR(I133="",J133=""),"",IF(E133="Buy",(J133-I133)/I133,(I133-J133)/I133))</f>
        <v/>
      </c>
      <c r="N133" s="25" t="str">
        <f aca="false">IF(OR(I133="",J133="",I133=G133),"",IF(E133="Buy",(J133-I133)/(I133-G133),(I133-J133)/(G133-I133)))</f>
        <v/>
      </c>
      <c r="O133" s="2" t="str">
        <f aca="false">IF(OR(B133="",K133=""),"",IFERROR(K133-B133,""))</f>
        <v/>
      </c>
      <c r="P133" s="2" t="str">
        <f aca="false">IF(M133="","",IF(M133&gt;0,1,0))</f>
        <v/>
      </c>
    </row>
    <row r="134" customFormat="false" ht="15" hidden="false" customHeight="false" outlineLevel="0" collapsed="false">
      <c r="M134" s="24" t="str">
        <f aca="false">IF(OR(I134="",J134=""),"",IF(E134="Buy",(J134-I134)/I134,(I134-J134)/I134))</f>
        <v/>
      </c>
      <c r="N134" s="25" t="str">
        <f aca="false">IF(OR(I134="",J134="",I134=G134),"",IF(E134="Buy",(J134-I134)/(I134-G134),(I134-J134)/(G134-I134)))</f>
        <v/>
      </c>
      <c r="O134" s="2" t="str">
        <f aca="false">IF(OR(B134="",K134=""),"",IFERROR(K134-B134,""))</f>
        <v/>
      </c>
      <c r="P134" s="2" t="str">
        <f aca="false">IF(M134="","",IF(M134&gt;0,1,0))</f>
        <v/>
      </c>
    </row>
    <row r="135" customFormat="false" ht="15" hidden="false" customHeight="false" outlineLevel="0" collapsed="false">
      <c r="M135" s="24" t="str">
        <f aca="false">IF(OR(I135="",J135=""),"",IF(E135="Buy",(J135-I135)/I135,(I135-J135)/I135))</f>
        <v/>
      </c>
      <c r="N135" s="25" t="str">
        <f aca="false">IF(OR(I135="",J135="",I135=G135),"",IF(E135="Buy",(J135-I135)/(I135-G135),(I135-J135)/(G135-I135)))</f>
        <v/>
      </c>
      <c r="O135" s="2" t="str">
        <f aca="false">IF(OR(B135="",K135=""),"",IFERROR(K135-B135,""))</f>
        <v/>
      </c>
      <c r="P135" s="2" t="str">
        <f aca="false">IF(M135="","",IF(M135&gt;0,1,0))</f>
        <v/>
      </c>
    </row>
    <row r="136" customFormat="false" ht="15" hidden="false" customHeight="false" outlineLevel="0" collapsed="false">
      <c r="M136" s="24" t="str">
        <f aca="false">IF(OR(I136="",J136=""),"",IF(E136="Buy",(J136-I136)/I136,(I136-J136)/I136))</f>
        <v/>
      </c>
      <c r="N136" s="25" t="str">
        <f aca="false">IF(OR(I136="",J136="",I136=G136),"",IF(E136="Buy",(J136-I136)/(I136-G136),(I136-J136)/(G136-I136)))</f>
        <v/>
      </c>
      <c r="O136" s="2" t="str">
        <f aca="false">IF(OR(B136="",K136=""),"",IFERROR(K136-B136,""))</f>
        <v/>
      </c>
      <c r="P136" s="2" t="str">
        <f aca="false">IF(M136="","",IF(M136&gt;0,1,0))</f>
        <v/>
      </c>
    </row>
    <row r="137" customFormat="false" ht="15" hidden="false" customHeight="false" outlineLevel="0" collapsed="false">
      <c r="M137" s="24" t="str">
        <f aca="false">IF(OR(I137="",J137=""),"",IF(E137="Buy",(J137-I137)/I137,(I137-J137)/I137))</f>
        <v/>
      </c>
      <c r="N137" s="25" t="str">
        <f aca="false">IF(OR(I137="",J137="",I137=G137),"",IF(E137="Buy",(J137-I137)/(I137-G137),(I137-J137)/(G137-I137)))</f>
        <v/>
      </c>
      <c r="O137" s="2" t="str">
        <f aca="false">IF(OR(B137="",K137=""),"",IFERROR(K137-B137,""))</f>
        <v/>
      </c>
      <c r="P137" s="2" t="str">
        <f aca="false">IF(M137="","",IF(M137&gt;0,1,0))</f>
        <v/>
      </c>
    </row>
    <row r="138" customFormat="false" ht="15" hidden="false" customHeight="false" outlineLevel="0" collapsed="false">
      <c r="M138" s="24" t="str">
        <f aca="false">IF(OR(I138="",J138=""),"",IF(E138="Buy",(J138-I138)/I138,(I138-J138)/I138))</f>
        <v/>
      </c>
      <c r="N138" s="25" t="str">
        <f aca="false">IF(OR(I138="",J138="",I138=G138),"",IF(E138="Buy",(J138-I138)/(I138-G138),(I138-J138)/(G138-I138)))</f>
        <v/>
      </c>
      <c r="O138" s="2" t="str">
        <f aca="false">IF(OR(B138="",K138=""),"",IFERROR(K138-B138,""))</f>
        <v/>
      </c>
      <c r="P138" s="2" t="str">
        <f aca="false">IF(M138="","",IF(M138&gt;0,1,0))</f>
        <v/>
      </c>
    </row>
    <row r="139" customFormat="false" ht="15" hidden="false" customHeight="false" outlineLevel="0" collapsed="false">
      <c r="M139" s="24" t="str">
        <f aca="false">IF(OR(I139="",J139=""),"",IF(E139="Buy",(J139-I139)/I139,(I139-J139)/I139))</f>
        <v/>
      </c>
      <c r="N139" s="25" t="str">
        <f aca="false">IF(OR(I139="",J139="",I139=G139),"",IF(E139="Buy",(J139-I139)/(I139-G139),(I139-J139)/(G139-I139)))</f>
        <v/>
      </c>
      <c r="O139" s="2" t="str">
        <f aca="false">IF(OR(B139="",K139=""),"",IFERROR(K139-B139,""))</f>
        <v/>
      </c>
      <c r="P139" s="2" t="str">
        <f aca="false">IF(M139="","",IF(M139&gt;0,1,0))</f>
        <v/>
      </c>
    </row>
    <row r="140" customFormat="false" ht="15" hidden="false" customHeight="false" outlineLevel="0" collapsed="false">
      <c r="M140" s="24" t="str">
        <f aca="false">IF(OR(I140="",J140=""),"",IF(E140="Buy",(J140-I140)/I140,(I140-J140)/I140))</f>
        <v/>
      </c>
      <c r="N140" s="25" t="str">
        <f aca="false">IF(OR(I140="",J140="",I140=G140),"",IF(E140="Buy",(J140-I140)/(I140-G140),(I140-J140)/(G140-I140)))</f>
        <v/>
      </c>
      <c r="O140" s="2" t="str">
        <f aca="false">IF(OR(B140="",K140=""),"",IFERROR(K140-B140,""))</f>
        <v/>
      </c>
      <c r="P140" s="2" t="str">
        <f aca="false">IF(M140="","",IF(M140&gt;0,1,0))</f>
        <v/>
      </c>
    </row>
    <row r="141" customFormat="false" ht="15" hidden="false" customHeight="false" outlineLevel="0" collapsed="false">
      <c r="M141" s="24" t="str">
        <f aca="false">IF(OR(I141="",J141=""),"",IF(E141="Buy",(J141-I141)/I141,(I141-J141)/I141))</f>
        <v/>
      </c>
      <c r="N141" s="25" t="str">
        <f aca="false">IF(OR(I141="",J141="",I141=G141),"",IF(E141="Buy",(J141-I141)/(I141-G141),(I141-J141)/(G141-I141)))</f>
        <v/>
      </c>
      <c r="O141" s="2" t="str">
        <f aca="false">IF(OR(B141="",K141=""),"",IFERROR(K141-B141,""))</f>
        <v/>
      </c>
      <c r="P141" s="2" t="str">
        <f aca="false">IF(M141="","",IF(M141&gt;0,1,0))</f>
        <v/>
      </c>
    </row>
    <row r="142" customFormat="false" ht="15" hidden="false" customHeight="false" outlineLevel="0" collapsed="false">
      <c r="M142" s="24" t="str">
        <f aca="false">IF(OR(I142="",J142=""),"",IF(E142="Buy",(J142-I142)/I142,(I142-J142)/I142))</f>
        <v/>
      </c>
      <c r="N142" s="25" t="str">
        <f aca="false">IF(OR(I142="",J142="",I142=G142),"",IF(E142="Buy",(J142-I142)/(I142-G142),(I142-J142)/(G142-I142)))</f>
        <v/>
      </c>
      <c r="O142" s="2" t="str">
        <f aca="false">IF(OR(B142="",K142=""),"",IFERROR(K142-B142,""))</f>
        <v/>
      </c>
      <c r="P142" s="2" t="str">
        <f aca="false">IF(M142="","",IF(M142&gt;0,1,0))</f>
        <v/>
      </c>
    </row>
    <row r="143" customFormat="false" ht="15" hidden="false" customHeight="false" outlineLevel="0" collapsed="false">
      <c r="M143" s="24" t="str">
        <f aca="false">IF(OR(I143="",J143=""),"",IF(E143="Buy",(J143-I143)/I143,(I143-J143)/I143))</f>
        <v/>
      </c>
      <c r="N143" s="25" t="str">
        <f aca="false">IF(OR(I143="",J143="",I143=G143),"",IF(E143="Buy",(J143-I143)/(I143-G143),(I143-J143)/(G143-I143)))</f>
        <v/>
      </c>
      <c r="O143" s="2" t="str">
        <f aca="false">IF(OR(B143="",K143=""),"",IFERROR(K143-B143,""))</f>
        <v/>
      </c>
      <c r="P143" s="2" t="str">
        <f aca="false">IF(M143="","",IF(M143&gt;0,1,0))</f>
        <v/>
      </c>
    </row>
    <row r="144" customFormat="false" ht="15" hidden="false" customHeight="false" outlineLevel="0" collapsed="false">
      <c r="M144" s="24" t="str">
        <f aca="false">IF(OR(I144="",J144=""),"",IF(E144="Buy",(J144-I144)/I144,(I144-J144)/I144))</f>
        <v/>
      </c>
      <c r="N144" s="25" t="str">
        <f aca="false">IF(OR(I144="",J144="",I144=G144),"",IF(E144="Buy",(J144-I144)/(I144-G144),(I144-J144)/(G144-I144)))</f>
        <v/>
      </c>
      <c r="O144" s="2" t="str">
        <f aca="false">IF(OR(B144="",K144=""),"",IFERROR(K144-B144,""))</f>
        <v/>
      </c>
      <c r="P144" s="2" t="str">
        <f aca="false">IF(M144="","",IF(M144&gt;0,1,0))</f>
        <v/>
      </c>
    </row>
    <row r="145" customFormat="false" ht="15" hidden="false" customHeight="false" outlineLevel="0" collapsed="false">
      <c r="M145" s="24" t="str">
        <f aca="false">IF(OR(I145="",J145=""),"",IF(E145="Buy",(J145-I145)/I145,(I145-J145)/I145))</f>
        <v/>
      </c>
      <c r="N145" s="25" t="str">
        <f aca="false">IF(OR(I145="",J145="",I145=G145),"",IF(E145="Buy",(J145-I145)/(I145-G145),(I145-J145)/(G145-I145)))</f>
        <v/>
      </c>
      <c r="O145" s="2" t="str">
        <f aca="false">IF(OR(B145="",K145=""),"",IFERROR(K145-B145,""))</f>
        <v/>
      </c>
      <c r="P145" s="2" t="str">
        <f aca="false">IF(M145="","",IF(M145&gt;0,1,0))</f>
        <v/>
      </c>
    </row>
    <row r="146" customFormat="false" ht="15" hidden="false" customHeight="false" outlineLevel="0" collapsed="false">
      <c r="M146" s="24" t="str">
        <f aca="false">IF(OR(I146="",J146=""),"",IF(E146="Buy",(J146-I146)/I146,(I146-J146)/I146))</f>
        <v/>
      </c>
      <c r="N146" s="25" t="str">
        <f aca="false">IF(OR(I146="",J146="",I146=G146),"",IF(E146="Buy",(J146-I146)/(I146-G146),(I146-J146)/(G146-I146)))</f>
        <v/>
      </c>
      <c r="O146" s="2" t="str">
        <f aca="false">IF(OR(B146="",K146=""),"",IFERROR(K146-B146,""))</f>
        <v/>
      </c>
      <c r="P146" s="2" t="str">
        <f aca="false">IF(M146="","",IF(M146&gt;0,1,0))</f>
        <v/>
      </c>
    </row>
    <row r="147" customFormat="false" ht="15" hidden="false" customHeight="false" outlineLevel="0" collapsed="false">
      <c r="M147" s="24" t="str">
        <f aca="false">IF(OR(I147="",J147=""),"",IF(E147="Buy",(J147-I147)/I147,(I147-J147)/I147))</f>
        <v/>
      </c>
      <c r="N147" s="25" t="str">
        <f aca="false">IF(OR(I147="",J147="",I147=G147),"",IF(E147="Buy",(J147-I147)/(I147-G147),(I147-J147)/(G147-I147)))</f>
        <v/>
      </c>
      <c r="O147" s="2" t="str">
        <f aca="false">IF(OR(B147="",K147=""),"",IFERROR(K147-B147,""))</f>
        <v/>
      </c>
      <c r="P147" s="2" t="str">
        <f aca="false">IF(M147="","",IF(M147&gt;0,1,0))</f>
        <v/>
      </c>
    </row>
    <row r="148" customFormat="false" ht="15" hidden="false" customHeight="false" outlineLevel="0" collapsed="false">
      <c r="M148" s="24" t="str">
        <f aca="false">IF(OR(I148="",J148=""),"",IF(E148="Buy",(J148-I148)/I148,(I148-J148)/I148))</f>
        <v/>
      </c>
      <c r="N148" s="25" t="str">
        <f aca="false">IF(OR(I148="",J148="",I148=G148),"",IF(E148="Buy",(J148-I148)/(I148-G148),(I148-J148)/(G148-I148)))</f>
        <v/>
      </c>
      <c r="O148" s="2" t="str">
        <f aca="false">IF(OR(B148="",K148=""),"",IFERROR(K148-B148,""))</f>
        <v/>
      </c>
      <c r="P148" s="2" t="str">
        <f aca="false">IF(M148="","",IF(M148&gt;0,1,0))</f>
        <v/>
      </c>
    </row>
    <row r="149" customFormat="false" ht="15" hidden="false" customHeight="false" outlineLevel="0" collapsed="false">
      <c r="M149" s="24" t="str">
        <f aca="false">IF(OR(I149="",J149=""),"",IF(E149="Buy",(J149-I149)/I149,(I149-J149)/I149))</f>
        <v/>
      </c>
      <c r="N149" s="25" t="str">
        <f aca="false">IF(OR(I149="",J149="",I149=G149),"",IF(E149="Buy",(J149-I149)/(I149-G149),(I149-J149)/(G149-I149)))</f>
        <v/>
      </c>
      <c r="O149" s="2" t="str">
        <f aca="false">IF(OR(B149="",K149=""),"",IFERROR(K149-B149,""))</f>
        <v/>
      </c>
      <c r="P149" s="2" t="str">
        <f aca="false">IF(M149="","",IF(M149&gt;0,1,0))</f>
        <v/>
      </c>
    </row>
    <row r="150" customFormat="false" ht="15" hidden="false" customHeight="false" outlineLevel="0" collapsed="false">
      <c r="M150" s="24" t="str">
        <f aca="false">IF(OR(I150="",J150=""),"",IF(E150="Buy",(J150-I150)/I150,(I150-J150)/I150))</f>
        <v/>
      </c>
      <c r="N150" s="25" t="str">
        <f aca="false">IF(OR(I150="",J150="",I150=G150),"",IF(E150="Buy",(J150-I150)/(I150-G150),(I150-J150)/(G150-I150)))</f>
        <v/>
      </c>
      <c r="O150" s="2" t="str">
        <f aca="false">IF(OR(B150="",K150=""),"",IFERROR(K150-B150,""))</f>
        <v/>
      </c>
      <c r="P150" s="2" t="str">
        <f aca="false">IF(M150="","",IF(M150&gt;0,1,0))</f>
        <v/>
      </c>
    </row>
    <row r="151" customFormat="false" ht="15" hidden="false" customHeight="false" outlineLevel="0" collapsed="false">
      <c r="M151" s="24" t="str">
        <f aca="false">IF(OR(I151="",J151=""),"",IF(E151="Buy",(J151-I151)/I151,(I151-J151)/I151))</f>
        <v/>
      </c>
      <c r="N151" s="25" t="str">
        <f aca="false">IF(OR(I151="",J151="",I151=G151),"",IF(E151="Buy",(J151-I151)/(I151-G151),(I151-J151)/(G151-I151)))</f>
        <v/>
      </c>
      <c r="O151" s="2" t="str">
        <f aca="false">IF(OR(B151="",K151=""),"",IFERROR(K151-B151,""))</f>
        <v/>
      </c>
      <c r="P151" s="2" t="str">
        <f aca="false">IF(M151="","",IF(M151&gt;0,1,0))</f>
        <v/>
      </c>
    </row>
    <row r="152" customFormat="false" ht="15" hidden="false" customHeight="false" outlineLevel="0" collapsed="false">
      <c r="M152" s="24" t="str">
        <f aca="false">IF(OR(I152="",J152=""),"",IF(E152="Buy",(J152-I152)/I152,(I152-J152)/I152))</f>
        <v/>
      </c>
      <c r="N152" s="25" t="str">
        <f aca="false">IF(OR(I152="",J152="",I152=G152),"",IF(E152="Buy",(J152-I152)/(I152-G152),(I152-J152)/(G152-I152)))</f>
        <v/>
      </c>
      <c r="O152" s="2" t="str">
        <f aca="false">IF(OR(B152="",K152=""),"",IFERROR(K152-B152,""))</f>
        <v/>
      </c>
      <c r="P152" s="2" t="str">
        <f aca="false">IF(M152="","",IF(M152&gt;0,1,0))</f>
        <v/>
      </c>
    </row>
    <row r="153" customFormat="false" ht="15" hidden="false" customHeight="false" outlineLevel="0" collapsed="false">
      <c r="M153" s="24" t="str">
        <f aca="false">IF(OR(I153="",J153=""),"",IF(E153="Buy",(J153-I153)/I153,(I153-J153)/I153))</f>
        <v/>
      </c>
      <c r="N153" s="25" t="str">
        <f aca="false">IF(OR(I153="",J153="",I153=G153),"",IF(E153="Buy",(J153-I153)/(I153-G153),(I153-J153)/(G153-I153)))</f>
        <v/>
      </c>
      <c r="O153" s="2" t="str">
        <f aca="false">IF(OR(B153="",K153=""),"",IFERROR(K153-B153,""))</f>
        <v/>
      </c>
      <c r="P153" s="2" t="str">
        <f aca="false">IF(M153="","",IF(M153&gt;0,1,0))</f>
        <v/>
      </c>
    </row>
    <row r="154" customFormat="false" ht="15" hidden="false" customHeight="false" outlineLevel="0" collapsed="false">
      <c r="M154" s="24" t="str">
        <f aca="false">IF(OR(I154="",J154=""),"",IF(E154="Buy",(J154-I154)/I154,(I154-J154)/I154))</f>
        <v/>
      </c>
      <c r="N154" s="25" t="str">
        <f aca="false">IF(OR(I154="",J154="",I154=G154),"",IF(E154="Buy",(J154-I154)/(I154-G154),(I154-J154)/(G154-I154)))</f>
        <v/>
      </c>
      <c r="O154" s="2" t="str">
        <f aca="false">IF(OR(B154="",K154=""),"",IFERROR(K154-B154,""))</f>
        <v/>
      </c>
      <c r="P154" s="2" t="str">
        <f aca="false">IF(M154="","",IF(M154&gt;0,1,0))</f>
        <v/>
      </c>
    </row>
    <row r="155" customFormat="false" ht="15" hidden="false" customHeight="false" outlineLevel="0" collapsed="false">
      <c r="M155" s="24" t="str">
        <f aca="false">IF(OR(I155="",J155=""),"",IF(E155="Buy",(J155-I155)/I155,(I155-J155)/I155))</f>
        <v/>
      </c>
      <c r="N155" s="25" t="str">
        <f aca="false">IF(OR(I155="",J155="",I155=G155),"",IF(E155="Buy",(J155-I155)/(I155-G155),(I155-J155)/(G155-I155)))</f>
        <v/>
      </c>
      <c r="O155" s="2" t="str">
        <f aca="false">IF(OR(B155="",K155=""),"",IFERROR(K155-B155,""))</f>
        <v/>
      </c>
      <c r="P155" s="2" t="str">
        <f aca="false">IF(M155="","",IF(M155&gt;0,1,0))</f>
        <v/>
      </c>
    </row>
    <row r="156" customFormat="false" ht="15" hidden="false" customHeight="false" outlineLevel="0" collapsed="false">
      <c r="M156" s="24" t="str">
        <f aca="false">IF(OR(I156="",J156=""),"",IF(E156="Buy",(J156-I156)/I156,(I156-J156)/I156))</f>
        <v/>
      </c>
      <c r="N156" s="25" t="str">
        <f aca="false">IF(OR(I156="",J156="",I156=G156),"",IF(E156="Buy",(J156-I156)/(I156-G156),(I156-J156)/(G156-I156)))</f>
        <v/>
      </c>
      <c r="O156" s="2" t="str">
        <f aca="false">IF(OR(B156="",K156=""),"",IFERROR(K156-B156,""))</f>
        <v/>
      </c>
      <c r="P156" s="2" t="str">
        <f aca="false">IF(M156="","",IF(M156&gt;0,1,0))</f>
        <v/>
      </c>
    </row>
    <row r="157" customFormat="false" ht="15" hidden="false" customHeight="false" outlineLevel="0" collapsed="false">
      <c r="M157" s="24" t="str">
        <f aca="false">IF(OR(I157="",J157=""),"",IF(E157="Buy",(J157-I157)/I157,(I157-J157)/I157))</f>
        <v/>
      </c>
      <c r="N157" s="25" t="str">
        <f aca="false">IF(OR(I157="",J157="",I157=G157),"",IF(E157="Buy",(J157-I157)/(I157-G157),(I157-J157)/(G157-I157)))</f>
        <v/>
      </c>
      <c r="O157" s="2" t="str">
        <f aca="false">IF(OR(B157="",K157=""),"",IFERROR(K157-B157,""))</f>
        <v/>
      </c>
      <c r="P157" s="2" t="str">
        <f aca="false">IF(M157="","",IF(M157&gt;0,1,0))</f>
        <v/>
      </c>
    </row>
    <row r="158" customFormat="false" ht="15" hidden="false" customHeight="false" outlineLevel="0" collapsed="false">
      <c r="M158" s="24" t="str">
        <f aca="false">IF(OR(I158="",J158=""),"",IF(E158="Buy",(J158-I158)/I158,(I158-J158)/I158))</f>
        <v/>
      </c>
      <c r="N158" s="25" t="str">
        <f aca="false">IF(OR(I158="",J158="",I158=G158),"",IF(E158="Buy",(J158-I158)/(I158-G158),(I158-J158)/(G158-I158)))</f>
        <v/>
      </c>
      <c r="O158" s="2" t="str">
        <f aca="false">IF(OR(B158="",K158=""),"",IFERROR(K158-B158,""))</f>
        <v/>
      </c>
      <c r="P158" s="2" t="str">
        <f aca="false">IF(M158="","",IF(M158&gt;0,1,0))</f>
        <v/>
      </c>
    </row>
    <row r="159" customFormat="false" ht="15" hidden="false" customHeight="false" outlineLevel="0" collapsed="false">
      <c r="M159" s="24" t="str">
        <f aca="false">IF(OR(I159="",J159=""),"",IF(E159="Buy",(J159-I159)/I159,(I159-J159)/I159))</f>
        <v/>
      </c>
      <c r="N159" s="25" t="str">
        <f aca="false">IF(OR(I159="",J159="",I159=G159),"",IF(E159="Buy",(J159-I159)/(I159-G159),(I159-J159)/(G159-I159)))</f>
        <v/>
      </c>
      <c r="O159" s="2" t="str">
        <f aca="false">IF(OR(B159="",K159=""),"",IFERROR(K159-B159,""))</f>
        <v/>
      </c>
      <c r="P159" s="2" t="str">
        <f aca="false">IF(M159="","",IF(M159&gt;0,1,0))</f>
        <v/>
      </c>
    </row>
    <row r="160" customFormat="false" ht="15" hidden="false" customHeight="false" outlineLevel="0" collapsed="false">
      <c r="M160" s="24" t="str">
        <f aca="false">IF(OR(I160="",J160=""),"",IF(E160="Buy",(J160-I160)/I160,(I160-J160)/I160))</f>
        <v/>
      </c>
      <c r="N160" s="25" t="str">
        <f aca="false">IF(OR(I160="",J160="",I160=G160),"",IF(E160="Buy",(J160-I160)/(I160-G160),(I160-J160)/(G160-I160)))</f>
        <v/>
      </c>
      <c r="O160" s="2" t="str">
        <f aca="false">IF(OR(B160="",K160=""),"",IFERROR(K160-B160,""))</f>
        <v/>
      </c>
      <c r="P160" s="2" t="str">
        <f aca="false">IF(M160="","",IF(M160&gt;0,1,0))</f>
        <v/>
      </c>
    </row>
    <row r="161" customFormat="false" ht="15" hidden="false" customHeight="false" outlineLevel="0" collapsed="false">
      <c r="M161" s="24" t="str">
        <f aca="false">IF(OR(I161="",J161=""),"",IF(E161="Buy",(J161-I161)/I161,(I161-J161)/I161))</f>
        <v/>
      </c>
      <c r="N161" s="25" t="str">
        <f aca="false">IF(OR(I161="",J161="",I161=G161),"",IF(E161="Buy",(J161-I161)/(I161-G161),(I161-J161)/(G161-I161)))</f>
        <v/>
      </c>
      <c r="O161" s="2" t="str">
        <f aca="false">IF(OR(B161="",K161=""),"",IFERROR(K161-B161,""))</f>
        <v/>
      </c>
      <c r="P161" s="2" t="str">
        <f aca="false">IF(M161="","",IF(M161&gt;0,1,0))</f>
        <v/>
      </c>
    </row>
    <row r="162" customFormat="false" ht="15" hidden="false" customHeight="false" outlineLevel="0" collapsed="false">
      <c r="M162" s="24" t="str">
        <f aca="false">IF(OR(I162="",J162=""),"",IF(E162="Buy",(J162-I162)/I162,(I162-J162)/I162))</f>
        <v/>
      </c>
      <c r="N162" s="25" t="str">
        <f aca="false">IF(OR(I162="",J162="",I162=G162),"",IF(E162="Buy",(J162-I162)/(I162-G162),(I162-J162)/(G162-I162)))</f>
        <v/>
      </c>
      <c r="O162" s="2" t="str">
        <f aca="false">IF(OR(B162="",K162=""),"",IFERROR(K162-B162,""))</f>
        <v/>
      </c>
      <c r="P162" s="2" t="str">
        <f aca="false">IF(M162="","",IF(M162&gt;0,1,0))</f>
        <v/>
      </c>
    </row>
    <row r="163" customFormat="false" ht="15" hidden="false" customHeight="false" outlineLevel="0" collapsed="false">
      <c r="M163" s="24" t="str">
        <f aca="false">IF(OR(I163="",J163=""),"",IF(E163="Buy",(J163-I163)/I163,(I163-J163)/I163))</f>
        <v/>
      </c>
      <c r="N163" s="25" t="str">
        <f aca="false">IF(OR(I163="",J163="",I163=G163),"",IF(E163="Buy",(J163-I163)/(I163-G163),(I163-J163)/(G163-I163)))</f>
        <v/>
      </c>
      <c r="O163" s="2" t="str">
        <f aca="false">IF(OR(B163="",K163=""),"",IFERROR(K163-B163,""))</f>
        <v/>
      </c>
      <c r="P163" s="2" t="str">
        <f aca="false">IF(M163="","",IF(M163&gt;0,1,0))</f>
        <v/>
      </c>
    </row>
    <row r="164" customFormat="false" ht="15" hidden="false" customHeight="false" outlineLevel="0" collapsed="false">
      <c r="M164" s="24" t="str">
        <f aca="false">IF(OR(I164="",J164=""),"",IF(E164="Buy",(J164-I164)/I164,(I164-J164)/I164))</f>
        <v/>
      </c>
      <c r="N164" s="25" t="str">
        <f aca="false">IF(OR(I164="",J164="",I164=G164),"",IF(E164="Buy",(J164-I164)/(I164-G164),(I164-J164)/(G164-I164)))</f>
        <v/>
      </c>
      <c r="O164" s="2" t="str">
        <f aca="false">IF(OR(B164="",K164=""),"",IFERROR(K164-B164,""))</f>
        <v/>
      </c>
      <c r="P164" s="2" t="str">
        <f aca="false">IF(M164="","",IF(M164&gt;0,1,0))</f>
        <v/>
      </c>
    </row>
    <row r="165" customFormat="false" ht="15" hidden="false" customHeight="false" outlineLevel="0" collapsed="false">
      <c r="M165" s="24" t="str">
        <f aca="false">IF(OR(I165="",J165=""),"",IF(E165="Buy",(J165-I165)/I165,(I165-J165)/I165))</f>
        <v/>
      </c>
      <c r="N165" s="25" t="str">
        <f aca="false">IF(OR(I165="",J165="",I165=G165),"",IF(E165="Buy",(J165-I165)/(I165-G165),(I165-J165)/(G165-I165)))</f>
        <v/>
      </c>
      <c r="O165" s="2" t="str">
        <f aca="false">IF(OR(B165="",K165=""),"",IFERROR(K165-B165,""))</f>
        <v/>
      </c>
      <c r="P165" s="2" t="str">
        <f aca="false">IF(M165="","",IF(M165&gt;0,1,0))</f>
        <v/>
      </c>
    </row>
    <row r="166" customFormat="false" ht="15" hidden="false" customHeight="false" outlineLevel="0" collapsed="false">
      <c r="M166" s="24" t="str">
        <f aca="false">IF(OR(I166="",J166=""),"",IF(E166="Buy",(J166-I166)/I166,(I166-J166)/I166))</f>
        <v/>
      </c>
      <c r="N166" s="25" t="str">
        <f aca="false">IF(OR(I166="",J166="",I166=G166),"",IF(E166="Buy",(J166-I166)/(I166-G166),(I166-J166)/(G166-I166)))</f>
        <v/>
      </c>
      <c r="O166" s="2" t="str">
        <f aca="false">IF(OR(B166="",K166=""),"",IFERROR(K166-B166,""))</f>
        <v/>
      </c>
      <c r="P166" s="2" t="str">
        <f aca="false">IF(M166="","",IF(M166&gt;0,1,0))</f>
        <v/>
      </c>
    </row>
    <row r="167" customFormat="false" ht="15" hidden="false" customHeight="false" outlineLevel="0" collapsed="false">
      <c r="M167" s="24" t="str">
        <f aca="false">IF(OR(I167="",J167=""),"",IF(E167="Buy",(J167-I167)/I167,(I167-J167)/I167))</f>
        <v/>
      </c>
      <c r="N167" s="25" t="str">
        <f aca="false">IF(OR(I167="",J167="",I167=G167),"",IF(E167="Buy",(J167-I167)/(I167-G167),(I167-J167)/(G167-I167)))</f>
        <v/>
      </c>
      <c r="O167" s="2" t="str">
        <f aca="false">IF(OR(B167="",K167=""),"",IFERROR(K167-B167,""))</f>
        <v/>
      </c>
      <c r="P167" s="2" t="str">
        <f aca="false">IF(M167="","",IF(M167&gt;0,1,0))</f>
        <v/>
      </c>
    </row>
    <row r="168" customFormat="false" ht="15" hidden="false" customHeight="false" outlineLevel="0" collapsed="false">
      <c r="M168" s="24" t="str">
        <f aca="false">IF(OR(I168="",J168=""),"",IF(E168="Buy",(J168-I168)/I168,(I168-J168)/I168))</f>
        <v/>
      </c>
      <c r="N168" s="25" t="str">
        <f aca="false">IF(OR(I168="",J168="",I168=G168),"",IF(E168="Buy",(J168-I168)/(I168-G168),(I168-J168)/(G168-I168)))</f>
        <v/>
      </c>
      <c r="O168" s="2" t="str">
        <f aca="false">IF(OR(B168="",K168=""),"",IFERROR(K168-B168,""))</f>
        <v/>
      </c>
      <c r="P168" s="2" t="str">
        <f aca="false">IF(M168="","",IF(M168&gt;0,1,0))</f>
        <v/>
      </c>
    </row>
    <row r="169" customFormat="false" ht="15" hidden="false" customHeight="false" outlineLevel="0" collapsed="false">
      <c r="M169" s="24" t="str">
        <f aca="false">IF(OR(I169="",J169=""),"",IF(E169="Buy",(J169-I169)/I169,(I169-J169)/I169))</f>
        <v/>
      </c>
      <c r="N169" s="25" t="str">
        <f aca="false">IF(OR(I169="",J169="",I169=G169),"",IF(E169="Buy",(J169-I169)/(I169-G169),(I169-J169)/(G169-I169)))</f>
        <v/>
      </c>
      <c r="O169" s="2" t="str">
        <f aca="false">IF(OR(B169="",K169=""),"",IFERROR(K169-B169,""))</f>
        <v/>
      </c>
      <c r="P169" s="2" t="str">
        <f aca="false">IF(M169="","",IF(M169&gt;0,1,0))</f>
        <v/>
      </c>
    </row>
    <row r="170" customFormat="false" ht="15" hidden="false" customHeight="false" outlineLevel="0" collapsed="false">
      <c r="M170" s="24" t="str">
        <f aca="false">IF(OR(I170="",J170=""),"",IF(E170="Buy",(J170-I170)/I170,(I170-J170)/I170))</f>
        <v/>
      </c>
      <c r="N170" s="25" t="str">
        <f aca="false">IF(OR(I170="",J170="",I170=G170),"",IF(E170="Buy",(J170-I170)/(I170-G170),(I170-J170)/(G170-I170)))</f>
        <v/>
      </c>
      <c r="O170" s="2" t="str">
        <f aca="false">IF(OR(B170="",K170=""),"",IFERROR(K170-B170,""))</f>
        <v/>
      </c>
      <c r="P170" s="2" t="str">
        <f aca="false">IF(M170="","",IF(M170&gt;0,1,0))</f>
        <v/>
      </c>
    </row>
    <row r="171" customFormat="false" ht="15" hidden="false" customHeight="false" outlineLevel="0" collapsed="false">
      <c r="M171" s="24" t="str">
        <f aca="false">IF(OR(I171="",J171=""),"",IF(E171="Buy",(J171-I171)/I171,(I171-J171)/I171))</f>
        <v/>
      </c>
      <c r="N171" s="25" t="str">
        <f aca="false">IF(OR(I171="",J171="",I171=G171),"",IF(E171="Buy",(J171-I171)/(I171-G171),(I171-J171)/(G171-I171)))</f>
        <v/>
      </c>
      <c r="O171" s="2" t="str">
        <f aca="false">IF(OR(B171="",K171=""),"",IFERROR(K171-B171,""))</f>
        <v/>
      </c>
      <c r="P171" s="2" t="str">
        <f aca="false">IF(M171="","",IF(M171&gt;0,1,0))</f>
        <v/>
      </c>
    </row>
    <row r="172" customFormat="false" ht="15" hidden="false" customHeight="false" outlineLevel="0" collapsed="false">
      <c r="M172" s="24" t="str">
        <f aca="false">IF(OR(I172="",J172=""),"",IF(E172="Buy",(J172-I172)/I172,(I172-J172)/I172))</f>
        <v/>
      </c>
      <c r="N172" s="25" t="str">
        <f aca="false">IF(OR(I172="",J172="",I172=G172),"",IF(E172="Buy",(J172-I172)/(I172-G172),(I172-J172)/(G172-I172)))</f>
        <v/>
      </c>
      <c r="O172" s="2" t="str">
        <f aca="false">IF(OR(B172="",K172=""),"",IFERROR(K172-B172,""))</f>
        <v/>
      </c>
      <c r="P172" s="2" t="str">
        <f aca="false">IF(M172="","",IF(M172&gt;0,1,0))</f>
        <v/>
      </c>
    </row>
    <row r="173" customFormat="false" ht="15" hidden="false" customHeight="false" outlineLevel="0" collapsed="false">
      <c r="M173" s="24" t="str">
        <f aca="false">IF(OR(I173="",J173=""),"",IF(E173="Buy",(J173-I173)/I173,(I173-J173)/I173))</f>
        <v/>
      </c>
      <c r="N173" s="25" t="str">
        <f aca="false">IF(OR(I173="",J173="",I173=G173),"",IF(E173="Buy",(J173-I173)/(I173-G173),(I173-J173)/(G173-I173)))</f>
        <v/>
      </c>
      <c r="O173" s="2" t="str">
        <f aca="false">IF(OR(B173="",K173=""),"",IFERROR(K173-B173,""))</f>
        <v/>
      </c>
      <c r="P173" s="2" t="str">
        <f aca="false">IF(M173="","",IF(M173&gt;0,1,0))</f>
        <v/>
      </c>
    </row>
    <row r="174" customFormat="false" ht="15" hidden="false" customHeight="false" outlineLevel="0" collapsed="false">
      <c r="M174" s="24" t="str">
        <f aca="false">IF(OR(I174="",J174=""),"",IF(E174="Buy",(J174-I174)/I174,(I174-J174)/I174))</f>
        <v/>
      </c>
      <c r="N174" s="25" t="str">
        <f aca="false">IF(OR(I174="",J174="",I174=G174),"",IF(E174="Buy",(J174-I174)/(I174-G174),(I174-J174)/(G174-I174)))</f>
        <v/>
      </c>
      <c r="O174" s="2" t="str">
        <f aca="false">IF(OR(B174="",K174=""),"",IFERROR(K174-B174,""))</f>
        <v/>
      </c>
      <c r="P174" s="2" t="str">
        <f aca="false">IF(M174="","",IF(M174&gt;0,1,0))</f>
        <v/>
      </c>
    </row>
    <row r="175" customFormat="false" ht="15" hidden="false" customHeight="false" outlineLevel="0" collapsed="false">
      <c r="M175" s="24" t="str">
        <f aca="false">IF(OR(I175="",J175=""),"",IF(E175="Buy",(J175-I175)/I175,(I175-J175)/I175))</f>
        <v/>
      </c>
      <c r="N175" s="25" t="str">
        <f aca="false">IF(OR(I175="",J175="",I175=G175),"",IF(E175="Buy",(J175-I175)/(I175-G175),(I175-J175)/(G175-I175)))</f>
        <v/>
      </c>
      <c r="O175" s="2" t="str">
        <f aca="false">IF(OR(B175="",K175=""),"",IFERROR(K175-B175,""))</f>
        <v/>
      </c>
      <c r="P175" s="2" t="str">
        <f aca="false">IF(M175="","",IF(M175&gt;0,1,0))</f>
        <v/>
      </c>
    </row>
    <row r="176" customFormat="false" ht="15" hidden="false" customHeight="false" outlineLevel="0" collapsed="false">
      <c r="M176" s="24" t="str">
        <f aca="false">IF(OR(I176="",J176=""),"",IF(E176="Buy",(J176-I176)/I176,(I176-J176)/I176))</f>
        <v/>
      </c>
      <c r="N176" s="25" t="str">
        <f aca="false">IF(OR(I176="",J176="",I176=G176),"",IF(E176="Buy",(J176-I176)/(I176-G176),(I176-J176)/(G176-I176)))</f>
        <v/>
      </c>
      <c r="O176" s="2" t="str">
        <f aca="false">IF(OR(B176="",K176=""),"",IFERROR(K176-B176,""))</f>
        <v/>
      </c>
      <c r="P176" s="2" t="str">
        <f aca="false">IF(M176="","",IF(M176&gt;0,1,0))</f>
        <v/>
      </c>
    </row>
    <row r="177" customFormat="false" ht="15" hidden="false" customHeight="false" outlineLevel="0" collapsed="false">
      <c r="M177" s="24" t="str">
        <f aca="false">IF(OR(I177="",J177=""),"",IF(E177="Buy",(J177-I177)/I177,(I177-J177)/I177))</f>
        <v/>
      </c>
      <c r="N177" s="25" t="str">
        <f aca="false">IF(OR(I177="",J177="",I177=G177),"",IF(E177="Buy",(J177-I177)/(I177-G177),(I177-J177)/(G177-I177)))</f>
        <v/>
      </c>
      <c r="O177" s="2" t="str">
        <f aca="false">IF(OR(B177="",K177=""),"",IFERROR(K177-B177,""))</f>
        <v/>
      </c>
      <c r="P177" s="2" t="str">
        <f aca="false">IF(M177="","",IF(M177&gt;0,1,0))</f>
        <v/>
      </c>
    </row>
    <row r="178" customFormat="false" ht="15" hidden="false" customHeight="false" outlineLevel="0" collapsed="false">
      <c r="M178" s="24" t="str">
        <f aca="false">IF(OR(I178="",J178=""),"",IF(E178="Buy",(J178-I178)/I178,(I178-J178)/I178))</f>
        <v/>
      </c>
      <c r="N178" s="25" t="str">
        <f aca="false">IF(OR(I178="",J178="",I178=G178),"",IF(E178="Buy",(J178-I178)/(I178-G178),(I178-J178)/(G178-I178)))</f>
        <v/>
      </c>
      <c r="O178" s="2" t="str">
        <f aca="false">IF(OR(B178="",K178=""),"",IFERROR(K178-B178,""))</f>
        <v/>
      </c>
      <c r="P178" s="2" t="str">
        <f aca="false">IF(M178="","",IF(M178&gt;0,1,0))</f>
        <v/>
      </c>
    </row>
    <row r="179" customFormat="false" ht="15" hidden="false" customHeight="false" outlineLevel="0" collapsed="false">
      <c r="M179" s="24" t="str">
        <f aca="false">IF(OR(I179="",J179=""),"",IF(E179="Buy",(J179-I179)/I179,(I179-J179)/I179))</f>
        <v/>
      </c>
      <c r="N179" s="25" t="str">
        <f aca="false">IF(OR(I179="",J179="",I179=G179),"",IF(E179="Buy",(J179-I179)/(I179-G179),(I179-J179)/(G179-I179)))</f>
        <v/>
      </c>
      <c r="O179" s="2" t="str">
        <f aca="false">IF(OR(B179="",K179=""),"",IFERROR(K179-B179,""))</f>
        <v/>
      </c>
      <c r="P179" s="2" t="str">
        <f aca="false">IF(M179="","",IF(M179&gt;0,1,0))</f>
        <v/>
      </c>
    </row>
    <row r="180" customFormat="false" ht="15" hidden="false" customHeight="false" outlineLevel="0" collapsed="false">
      <c r="M180" s="24" t="str">
        <f aca="false">IF(OR(I180="",J180=""),"",IF(E180="Buy",(J180-I180)/I180,(I180-J180)/I180))</f>
        <v/>
      </c>
      <c r="N180" s="25" t="str">
        <f aca="false">IF(OR(I180="",J180="",I180=G180),"",IF(E180="Buy",(J180-I180)/(I180-G180),(I180-J180)/(G180-I180)))</f>
        <v/>
      </c>
      <c r="O180" s="2" t="str">
        <f aca="false">IF(OR(B180="",K180=""),"",IFERROR(K180-B180,""))</f>
        <v/>
      </c>
      <c r="P180" s="2" t="str">
        <f aca="false">IF(M180="","",IF(M180&gt;0,1,0))</f>
        <v/>
      </c>
    </row>
    <row r="181" customFormat="false" ht="15" hidden="false" customHeight="false" outlineLevel="0" collapsed="false">
      <c r="M181" s="24" t="str">
        <f aca="false">IF(OR(I181="",J181=""),"",IF(E181="Buy",(J181-I181)/I181,(I181-J181)/I181))</f>
        <v/>
      </c>
      <c r="N181" s="25" t="str">
        <f aca="false">IF(OR(I181="",J181="",I181=G181),"",IF(E181="Buy",(J181-I181)/(I181-G181),(I181-J181)/(G181-I181)))</f>
        <v/>
      </c>
      <c r="O181" s="2" t="str">
        <f aca="false">IF(OR(B181="",K181=""),"",IFERROR(K181-B181,""))</f>
        <v/>
      </c>
      <c r="P181" s="2" t="str">
        <f aca="false">IF(M181="","",IF(M181&gt;0,1,0))</f>
        <v/>
      </c>
    </row>
    <row r="182" customFormat="false" ht="15" hidden="false" customHeight="false" outlineLevel="0" collapsed="false">
      <c r="M182" s="24" t="str">
        <f aca="false">IF(OR(I182="",J182=""),"",IF(E182="Buy",(J182-I182)/I182,(I182-J182)/I182))</f>
        <v/>
      </c>
      <c r="N182" s="25" t="str">
        <f aca="false">IF(OR(I182="",J182="",I182=G182),"",IF(E182="Buy",(J182-I182)/(I182-G182),(I182-J182)/(G182-I182)))</f>
        <v/>
      </c>
      <c r="O182" s="2" t="str">
        <f aca="false">IF(OR(B182="",K182=""),"",IFERROR(K182-B182,""))</f>
        <v/>
      </c>
      <c r="P182" s="2" t="str">
        <f aca="false">IF(M182="","",IF(M182&gt;0,1,0))</f>
        <v/>
      </c>
    </row>
    <row r="183" customFormat="false" ht="15" hidden="false" customHeight="false" outlineLevel="0" collapsed="false">
      <c r="M183" s="24" t="str">
        <f aca="false">IF(OR(I183="",J183=""),"",IF(E183="Buy",(J183-I183)/I183,(I183-J183)/I183))</f>
        <v/>
      </c>
      <c r="N183" s="25" t="str">
        <f aca="false">IF(OR(I183="",J183="",I183=G183),"",IF(E183="Buy",(J183-I183)/(I183-G183),(I183-J183)/(G183-I183)))</f>
        <v/>
      </c>
      <c r="O183" s="2" t="str">
        <f aca="false">IF(OR(B183="",K183=""),"",IFERROR(K183-B183,""))</f>
        <v/>
      </c>
      <c r="P183" s="2" t="str">
        <f aca="false">IF(M183="","",IF(M183&gt;0,1,0))</f>
        <v/>
      </c>
    </row>
    <row r="184" customFormat="false" ht="15" hidden="false" customHeight="false" outlineLevel="0" collapsed="false">
      <c r="M184" s="24" t="str">
        <f aca="false">IF(OR(I184="",J184=""),"",IF(E184="Buy",(J184-I184)/I184,(I184-J184)/I184))</f>
        <v/>
      </c>
      <c r="N184" s="25" t="str">
        <f aca="false">IF(OR(I184="",J184="",I184=G184),"",IF(E184="Buy",(J184-I184)/(I184-G184),(I184-J184)/(G184-I184)))</f>
        <v/>
      </c>
      <c r="O184" s="2" t="str">
        <f aca="false">IF(OR(B184="",K184=""),"",IFERROR(K184-B184,""))</f>
        <v/>
      </c>
      <c r="P184" s="2" t="str">
        <f aca="false">IF(M184="","",IF(M184&gt;0,1,0))</f>
        <v/>
      </c>
    </row>
    <row r="185" customFormat="false" ht="15" hidden="false" customHeight="false" outlineLevel="0" collapsed="false">
      <c r="M185" s="24" t="str">
        <f aca="false">IF(OR(I185="",J185=""),"",IF(E185="Buy",(J185-I185)/I185,(I185-J185)/I185))</f>
        <v/>
      </c>
      <c r="N185" s="25" t="str">
        <f aca="false">IF(OR(I185="",J185="",I185=G185),"",IF(E185="Buy",(J185-I185)/(I185-G185),(I185-J185)/(G185-I185)))</f>
        <v/>
      </c>
      <c r="O185" s="2" t="str">
        <f aca="false">IF(OR(B185="",K185=""),"",IFERROR(K185-B185,""))</f>
        <v/>
      </c>
      <c r="P185" s="2" t="str">
        <f aca="false">IF(M185="","",IF(M185&gt;0,1,0))</f>
        <v/>
      </c>
    </row>
    <row r="186" customFormat="false" ht="15" hidden="false" customHeight="false" outlineLevel="0" collapsed="false">
      <c r="M186" s="24" t="str">
        <f aca="false">IF(OR(I186="",J186=""),"",IF(E186="Buy",(J186-I186)/I186,(I186-J186)/I186))</f>
        <v/>
      </c>
      <c r="N186" s="25" t="str">
        <f aca="false">IF(OR(I186="",J186="",I186=G186),"",IF(E186="Buy",(J186-I186)/(I186-G186),(I186-J186)/(G186-I186)))</f>
        <v/>
      </c>
      <c r="O186" s="2" t="str">
        <f aca="false">IF(OR(B186="",K186=""),"",IFERROR(K186-B186,""))</f>
        <v/>
      </c>
      <c r="P186" s="2" t="str">
        <f aca="false">IF(M186="","",IF(M186&gt;0,1,0))</f>
        <v/>
      </c>
    </row>
    <row r="187" customFormat="false" ht="15" hidden="false" customHeight="false" outlineLevel="0" collapsed="false">
      <c r="M187" s="24" t="str">
        <f aca="false">IF(OR(I187="",J187=""),"",IF(E187="Buy",(J187-I187)/I187,(I187-J187)/I187))</f>
        <v/>
      </c>
      <c r="N187" s="25" t="str">
        <f aca="false">IF(OR(I187="",J187="",I187=G187),"",IF(E187="Buy",(J187-I187)/(I187-G187),(I187-J187)/(G187-I187)))</f>
        <v/>
      </c>
      <c r="O187" s="2" t="str">
        <f aca="false">IF(OR(B187="",K187=""),"",IFERROR(K187-B187,""))</f>
        <v/>
      </c>
      <c r="P187" s="2" t="str">
        <f aca="false">IF(M187="","",IF(M187&gt;0,1,0))</f>
        <v/>
      </c>
    </row>
    <row r="188" customFormat="false" ht="15" hidden="false" customHeight="false" outlineLevel="0" collapsed="false">
      <c r="M188" s="24" t="str">
        <f aca="false">IF(OR(I188="",J188=""),"",IF(E188="Buy",(J188-I188)/I188,(I188-J188)/I188))</f>
        <v/>
      </c>
      <c r="N188" s="25" t="str">
        <f aca="false">IF(OR(I188="",J188="",I188=G188),"",IF(E188="Buy",(J188-I188)/(I188-G188),(I188-J188)/(G188-I188)))</f>
        <v/>
      </c>
      <c r="O188" s="2" t="str">
        <f aca="false">IF(OR(B188="",K188=""),"",IFERROR(K188-B188,""))</f>
        <v/>
      </c>
      <c r="P188" s="2" t="str">
        <f aca="false">IF(M188="","",IF(M188&gt;0,1,0))</f>
        <v/>
      </c>
    </row>
    <row r="189" customFormat="false" ht="15" hidden="false" customHeight="false" outlineLevel="0" collapsed="false">
      <c r="M189" s="24" t="str">
        <f aca="false">IF(OR(I189="",J189=""),"",IF(E189="Buy",(J189-I189)/I189,(I189-J189)/I189))</f>
        <v/>
      </c>
      <c r="N189" s="25" t="str">
        <f aca="false">IF(OR(I189="",J189="",I189=G189),"",IF(E189="Buy",(J189-I189)/(I189-G189),(I189-J189)/(G189-I189)))</f>
        <v/>
      </c>
      <c r="O189" s="2" t="str">
        <f aca="false">IF(OR(B189="",K189=""),"",IFERROR(K189-B189,""))</f>
        <v/>
      </c>
      <c r="P189" s="2" t="str">
        <f aca="false">IF(M189="","",IF(M189&gt;0,1,0))</f>
        <v/>
      </c>
    </row>
    <row r="190" customFormat="false" ht="15" hidden="false" customHeight="false" outlineLevel="0" collapsed="false">
      <c r="M190" s="24" t="str">
        <f aca="false">IF(OR(I190="",J190=""),"",IF(E190="Buy",(J190-I190)/I190,(I190-J190)/I190))</f>
        <v/>
      </c>
      <c r="N190" s="25" t="str">
        <f aca="false">IF(OR(I190="",J190="",I190=G190),"",IF(E190="Buy",(J190-I190)/(I190-G190),(I190-J190)/(G190-I190)))</f>
        <v/>
      </c>
      <c r="O190" s="2" t="str">
        <f aca="false">IF(OR(B190="",K190=""),"",IFERROR(K190-B190,""))</f>
        <v/>
      </c>
      <c r="P190" s="2" t="str">
        <f aca="false">IF(M190="","",IF(M190&gt;0,1,0))</f>
        <v/>
      </c>
    </row>
    <row r="191" customFormat="false" ht="15" hidden="false" customHeight="false" outlineLevel="0" collapsed="false">
      <c r="M191" s="24" t="str">
        <f aca="false">IF(OR(I191="",J191=""),"",IF(E191="Buy",(J191-I191)/I191,(I191-J191)/I191))</f>
        <v/>
      </c>
      <c r="N191" s="25" t="str">
        <f aca="false">IF(OR(I191="",J191="",I191=G191),"",IF(E191="Buy",(J191-I191)/(I191-G191),(I191-J191)/(G191-I191)))</f>
        <v/>
      </c>
      <c r="O191" s="2" t="str">
        <f aca="false">IF(OR(B191="",K191=""),"",IFERROR(K191-B191,""))</f>
        <v/>
      </c>
      <c r="P191" s="2" t="str">
        <f aca="false">IF(M191="","",IF(M191&gt;0,1,0))</f>
        <v/>
      </c>
    </row>
    <row r="192" customFormat="false" ht="15" hidden="false" customHeight="false" outlineLevel="0" collapsed="false">
      <c r="M192" s="24" t="str">
        <f aca="false">IF(OR(I192="",J192=""),"",IF(E192="Buy",(J192-I192)/I192,(I192-J192)/I192))</f>
        <v/>
      </c>
      <c r="N192" s="25" t="str">
        <f aca="false">IF(OR(I192="",J192="",I192=G192),"",IF(E192="Buy",(J192-I192)/(I192-G192),(I192-J192)/(G192-I192)))</f>
        <v/>
      </c>
      <c r="O192" s="2" t="str">
        <f aca="false">IF(OR(B192="",K192=""),"",IFERROR(K192-B192,""))</f>
        <v/>
      </c>
      <c r="P192" s="2" t="str">
        <f aca="false">IF(M192="","",IF(M192&gt;0,1,0))</f>
        <v/>
      </c>
    </row>
    <row r="193" customFormat="false" ht="15" hidden="false" customHeight="false" outlineLevel="0" collapsed="false">
      <c r="M193" s="24" t="str">
        <f aca="false">IF(OR(I193="",J193=""),"",IF(E193="Buy",(J193-I193)/I193,(I193-J193)/I193))</f>
        <v/>
      </c>
      <c r="N193" s="25" t="str">
        <f aca="false">IF(OR(I193="",J193="",I193=G193),"",IF(E193="Buy",(J193-I193)/(I193-G193),(I193-J193)/(G193-I193)))</f>
        <v/>
      </c>
      <c r="O193" s="2" t="str">
        <f aca="false">IF(OR(B193="",K193=""),"",IFERROR(K193-B193,""))</f>
        <v/>
      </c>
      <c r="P193" s="2" t="str">
        <f aca="false">IF(M193="","",IF(M193&gt;0,1,0))</f>
        <v/>
      </c>
    </row>
    <row r="194" customFormat="false" ht="15" hidden="false" customHeight="false" outlineLevel="0" collapsed="false">
      <c r="M194" s="24" t="str">
        <f aca="false">IF(OR(I194="",J194=""),"",IF(E194="Buy",(J194-I194)/I194,(I194-J194)/I194))</f>
        <v/>
      </c>
      <c r="N194" s="25" t="str">
        <f aca="false">IF(OR(I194="",J194="",I194=G194),"",IF(E194="Buy",(J194-I194)/(I194-G194),(I194-J194)/(G194-I194)))</f>
        <v/>
      </c>
      <c r="O194" s="2" t="str">
        <f aca="false">IF(OR(B194="",K194=""),"",IFERROR(K194-B194,""))</f>
        <v/>
      </c>
      <c r="P194" s="2" t="str">
        <f aca="false">IF(M194="","",IF(M194&gt;0,1,0))</f>
        <v/>
      </c>
    </row>
    <row r="195" customFormat="false" ht="15" hidden="false" customHeight="false" outlineLevel="0" collapsed="false">
      <c r="M195" s="24" t="str">
        <f aca="false">IF(OR(I195="",J195=""),"",IF(E195="Buy",(J195-I195)/I195,(I195-J195)/I195))</f>
        <v/>
      </c>
      <c r="N195" s="25" t="str">
        <f aca="false">IF(OR(I195="",J195="",I195=G195),"",IF(E195="Buy",(J195-I195)/(I195-G195),(I195-J195)/(G195-I195)))</f>
        <v/>
      </c>
      <c r="O195" s="2" t="str">
        <f aca="false">IF(OR(B195="",K195=""),"",IFERROR(K195-B195,""))</f>
        <v/>
      </c>
      <c r="P195" s="2" t="str">
        <f aca="false">IF(M195="","",IF(M195&gt;0,1,0))</f>
        <v/>
      </c>
    </row>
    <row r="196" customFormat="false" ht="15" hidden="false" customHeight="false" outlineLevel="0" collapsed="false">
      <c r="M196" s="24" t="str">
        <f aca="false">IF(OR(I196="",J196=""),"",IF(E196="Buy",(J196-I196)/I196,(I196-J196)/I196))</f>
        <v/>
      </c>
      <c r="N196" s="25" t="str">
        <f aca="false">IF(OR(I196="",J196="",I196=G196),"",IF(E196="Buy",(J196-I196)/(I196-G196),(I196-J196)/(G196-I196)))</f>
        <v/>
      </c>
      <c r="O196" s="2" t="str">
        <f aca="false">IF(OR(B196="",K196=""),"",IFERROR(K196-B196,""))</f>
        <v/>
      </c>
      <c r="P196" s="2" t="str">
        <f aca="false">IF(M196="","",IF(M196&gt;0,1,0))</f>
        <v/>
      </c>
    </row>
    <row r="197" customFormat="false" ht="15" hidden="false" customHeight="false" outlineLevel="0" collapsed="false">
      <c r="M197" s="24" t="str">
        <f aca="false">IF(OR(I197="",J197=""),"",IF(E197="Buy",(J197-I197)/I197,(I197-J197)/I197))</f>
        <v/>
      </c>
      <c r="N197" s="25" t="str">
        <f aca="false">IF(OR(I197="",J197="",I197=G197),"",IF(E197="Buy",(J197-I197)/(I197-G197),(I197-J197)/(G197-I197)))</f>
        <v/>
      </c>
      <c r="O197" s="2" t="str">
        <f aca="false">IF(OR(B197="",K197=""),"",IFERROR(K197-B197,""))</f>
        <v/>
      </c>
      <c r="P197" s="2" t="str">
        <f aca="false">IF(M197="","",IF(M197&gt;0,1,0))</f>
        <v/>
      </c>
    </row>
    <row r="198" customFormat="false" ht="15" hidden="false" customHeight="false" outlineLevel="0" collapsed="false">
      <c r="M198" s="24" t="str">
        <f aca="false">IF(OR(I198="",J198=""),"",IF(E198="Buy",(J198-I198)/I198,(I198-J198)/I198))</f>
        <v/>
      </c>
      <c r="N198" s="25" t="str">
        <f aca="false">IF(OR(I198="",J198="",I198=G198),"",IF(E198="Buy",(J198-I198)/(I198-G198),(I198-J198)/(G198-I198)))</f>
        <v/>
      </c>
      <c r="O198" s="2" t="str">
        <f aca="false">IF(OR(B198="",K198=""),"",IFERROR(K198-B198,""))</f>
        <v/>
      </c>
      <c r="P198" s="2" t="str">
        <f aca="false">IF(M198="","",IF(M198&gt;0,1,0))</f>
        <v/>
      </c>
    </row>
    <row r="199" customFormat="false" ht="15" hidden="false" customHeight="false" outlineLevel="0" collapsed="false">
      <c r="M199" s="24" t="str">
        <f aca="false">IF(OR(I199="",J199=""),"",IF(E199="Buy",(J199-I199)/I199,(I199-J199)/I199))</f>
        <v/>
      </c>
      <c r="N199" s="25" t="str">
        <f aca="false">IF(OR(I199="",J199="",I199=G199),"",IF(E199="Buy",(J199-I199)/(I199-G199),(I199-J199)/(G199-I199)))</f>
        <v/>
      </c>
      <c r="O199" s="2" t="str">
        <f aca="false">IF(OR(B199="",K199=""),"",IFERROR(K199-B199,""))</f>
        <v/>
      </c>
      <c r="P199" s="2" t="str">
        <f aca="false">IF(M199="","",IF(M199&gt;0,1,0))</f>
        <v/>
      </c>
    </row>
    <row r="200" customFormat="false" ht="15" hidden="false" customHeight="false" outlineLevel="0" collapsed="false">
      <c r="M200" s="24" t="str">
        <f aca="false">IF(OR(I200="",J200=""),"",IF(E200="Buy",(J200-I200)/I200,(I200-J200)/I200))</f>
        <v/>
      </c>
      <c r="N200" s="25" t="str">
        <f aca="false">IF(OR(I200="",J200="",I200=G200),"",IF(E200="Buy",(J200-I200)/(I200-G200),(I200-J200)/(G200-I200)))</f>
        <v/>
      </c>
      <c r="O200" s="2" t="str">
        <f aca="false">IF(OR(B200="",K200=""),"",IFERROR(K200-B200,""))</f>
        <v/>
      </c>
      <c r="P200" s="2" t="str">
        <f aca="false">IF(M200="","",IF(M200&gt;0,1,0))</f>
        <v/>
      </c>
    </row>
    <row r="201" customFormat="false" ht="15" hidden="false" customHeight="false" outlineLevel="0" collapsed="false">
      <c r="M201" s="24" t="str">
        <f aca="false">IF(OR(I201="",J201=""),"",IF(E201="Buy",(J201-I201)/I201,(I201-J201)/I201))</f>
        <v/>
      </c>
      <c r="N201" s="25" t="str">
        <f aca="false">IF(OR(I201="",J201="",I201=G201),"",IF(E201="Buy",(J201-I201)/(I201-G201),(I201-J201)/(G201-I201)))</f>
        <v/>
      </c>
      <c r="O201" s="2" t="str">
        <f aca="false">IF(OR(B201="",K201=""),"",IFERROR(K201-B201,""))</f>
        <v/>
      </c>
      <c r="P201" s="2" t="str">
        <f aca="false">IF(M201="","",IF(M201&gt;0,1,0))</f>
        <v/>
      </c>
    </row>
    <row r="202" customFormat="false" ht="15" hidden="false" customHeight="false" outlineLevel="0" collapsed="false">
      <c r="M202" s="24" t="str">
        <f aca="false">IF(OR(I202="",J202=""),"",IF(E202="Buy",(J202-I202)/I202,(I202-J202)/I202))</f>
        <v/>
      </c>
      <c r="N202" s="25" t="str">
        <f aca="false">IF(OR(I202="",J202="",I202=G202),"",IF(E202="Buy",(J202-I202)/(I202-G202),(I202-J202)/(G202-I202)))</f>
        <v/>
      </c>
      <c r="O202" s="2" t="str">
        <f aca="false">IF(OR(B202="",K202=""),"",IFERROR(K202-B202,""))</f>
        <v/>
      </c>
      <c r="P202" s="2" t="str">
        <f aca="false">IF(M202="","",IF(M202&gt;0,1,0))</f>
        <v/>
      </c>
    </row>
    <row r="203" customFormat="false" ht="15" hidden="false" customHeight="false" outlineLevel="0" collapsed="false">
      <c r="M203" s="24" t="str">
        <f aca="false">IF(OR(I203="",J203=""),"",IF(E203="Buy",(J203-I203)/I203,(I203-J203)/I203))</f>
        <v/>
      </c>
      <c r="N203" s="25" t="str">
        <f aca="false">IF(OR(I203="",J203="",I203=G203),"",IF(E203="Buy",(J203-I203)/(I203-G203),(I203-J203)/(G203-I203)))</f>
        <v/>
      </c>
      <c r="O203" s="2" t="str">
        <f aca="false">IF(OR(B203="",K203=""),"",IFERROR(K203-B203,""))</f>
        <v/>
      </c>
      <c r="P203" s="2" t="str">
        <f aca="false">IF(M203="","",IF(M203&gt;0,1,0))</f>
        <v/>
      </c>
    </row>
    <row r="204" customFormat="false" ht="15" hidden="false" customHeight="false" outlineLevel="0" collapsed="false">
      <c r="M204" s="24" t="str">
        <f aca="false">IF(OR(I204="",J204=""),"",IF(E204="Buy",(J204-I204)/I204,(I204-J204)/I204))</f>
        <v/>
      </c>
      <c r="N204" s="25" t="str">
        <f aca="false">IF(OR(I204="",J204="",I204=G204),"",IF(E204="Buy",(J204-I204)/(I204-G204),(I204-J204)/(G204-I204)))</f>
        <v/>
      </c>
      <c r="O204" s="2" t="str">
        <f aca="false">IF(OR(B204="",K204=""),"",IFERROR(K204-B204,""))</f>
        <v/>
      </c>
      <c r="P204" s="2" t="str">
        <f aca="false">IF(M204="","",IF(M204&gt;0,1,0))</f>
        <v/>
      </c>
    </row>
    <row r="205" customFormat="false" ht="15" hidden="false" customHeight="false" outlineLevel="0" collapsed="false">
      <c r="M205" s="24" t="str">
        <f aca="false">IF(OR(I205="",J205=""),"",IF(E205="Buy",(J205-I205)/I205,(I205-J205)/I205))</f>
        <v/>
      </c>
      <c r="N205" s="25" t="str">
        <f aca="false">IF(OR(I205="",J205="",I205=G205),"",IF(E205="Buy",(J205-I205)/(I205-G205),(I205-J205)/(G205-I205)))</f>
        <v/>
      </c>
      <c r="O205" s="2" t="str">
        <f aca="false">IF(OR(B205="",K205=""),"",IFERROR(K205-B205,""))</f>
        <v/>
      </c>
      <c r="P205" s="2" t="str">
        <f aca="false">IF(M205="","",IF(M205&gt;0,1,0))</f>
        <v/>
      </c>
    </row>
    <row r="206" customFormat="false" ht="15" hidden="false" customHeight="false" outlineLevel="0" collapsed="false">
      <c r="M206" s="24" t="str">
        <f aca="false">IF(OR(I206="",J206=""),"",IF(E206="Buy",(J206-I206)/I206,(I206-J206)/I206))</f>
        <v/>
      </c>
      <c r="N206" s="25" t="str">
        <f aca="false">IF(OR(I206="",J206="",I206=G206),"",IF(E206="Buy",(J206-I206)/(I206-G206),(I206-J206)/(G206-I206)))</f>
        <v/>
      </c>
      <c r="O206" s="2" t="str">
        <f aca="false">IF(OR(B206="",K206=""),"",IFERROR(K206-B206,""))</f>
        <v/>
      </c>
      <c r="P206" s="2" t="str">
        <f aca="false">IF(M206="","",IF(M206&gt;0,1,0))</f>
        <v/>
      </c>
    </row>
    <row r="207" customFormat="false" ht="15" hidden="false" customHeight="false" outlineLevel="0" collapsed="false">
      <c r="M207" s="24" t="str">
        <f aca="false">IF(OR(I207="",J207=""),"",IF(E207="Buy",(J207-I207)/I207,(I207-J207)/I207))</f>
        <v/>
      </c>
      <c r="N207" s="25" t="str">
        <f aca="false">IF(OR(I207="",J207="",I207=G207),"",IF(E207="Buy",(J207-I207)/(I207-G207),(I207-J207)/(G207-I207)))</f>
        <v/>
      </c>
      <c r="O207" s="2" t="str">
        <f aca="false">IF(OR(B207="",K207=""),"",IFERROR(K207-B207,""))</f>
        <v/>
      </c>
      <c r="P207" s="2" t="str">
        <f aca="false">IF(M207="","",IF(M207&gt;0,1,0))</f>
        <v/>
      </c>
    </row>
    <row r="208" customFormat="false" ht="15" hidden="false" customHeight="false" outlineLevel="0" collapsed="false">
      <c r="M208" s="24" t="str">
        <f aca="false">IF(OR(I208="",J208=""),"",IF(E208="Buy",(J208-I208)/I208,(I208-J208)/I208))</f>
        <v/>
      </c>
      <c r="N208" s="25" t="str">
        <f aca="false">IF(OR(I208="",J208="",I208=G208),"",IF(E208="Buy",(J208-I208)/(I208-G208),(I208-J208)/(G208-I208)))</f>
        <v/>
      </c>
      <c r="O208" s="2" t="str">
        <f aca="false">IF(OR(B208="",K208=""),"",IFERROR(K208-B208,""))</f>
        <v/>
      </c>
      <c r="P208" s="2" t="str">
        <f aca="false">IF(M208="","",IF(M208&gt;0,1,0))</f>
        <v/>
      </c>
    </row>
    <row r="209" customFormat="false" ht="15" hidden="false" customHeight="false" outlineLevel="0" collapsed="false">
      <c r="M209" s="24" t="str">
        <f aca="false">IF(OR(I209="",J209=""),"",IF(E209="Buy",(J209-I209)/I209,(I209-J209)/I209))</f>
        <v/>
      </c>
      <c r="N209" s="25" t="str">
        <f aca="false">IF(OR(I209="",J209="",I209=G209),"",IF(E209="Buy",(J209-I209)/(I209-G209),(I209-J209)/(G209-I209)))</f>
        <v/>
      </c>
      <c r="O209" s="2" t="str">
        <f aca="false">IF(OR(B209="",K209=""),"",IFERROR(K209-B209,""))</f>
        <v/>
      </c>
      <c r="P209" s="2" t="str">
        <f aca="false">IF(M209="","",IF(M209&gt;0,1,0))</f>
        <v/>
      </c>
    </row>
    <row r="210" customFormat="false" ht="15" hidden="false" customHeight="false" outlineLevel="0" collapsed="false">
      <c r="M210" s="24" t="str">
        <f aca="false">IF(OR(I210="",J210=""),"",IF(E210="Buy",(J210-I210)/I210,(I210-J210)/I210))</f>
        <v/>
      </c>
      <c r="N210" s="25" t="str">
        <f aca="false">IF(OR(I210="",J210="",I210=G210),"",IF(E210="Buy",(J210-I210)/(I210-G210),(I210-J210)/(G210-I210)))</f>
        <v/>
      </c>
      <c r="O210" s="2" t="str">
        <f aca="false">IF(OR(B210="",K210=""),"",IFERROR(K210-B210,""))</f>
        <v/>
      </c>
      <c r="P210" s="2" t="str">
        <f aca="false">IF(M210="","",IF(M210&gt;0,1,0))</f>
        <v/>
      </c>
    </row>
    <row r="211" customFormat="false" ht="15" hidden="false" customHeight="false" outlineLevel="0" collapsed="false">
      <c r="M211" s="24" t="str">
        <f aca="false">IF(OR(I211="",J211=""),"",IF(E211="Buy",(J211-I211)/I211,(I211-J211)/I211))</f>
        <v/>
      </c>
      <c r="N211" s="25" t="str">
        <f aca="false">IF(OR(I211="",J211="",I211=G211),"",IF(E211="Buy",(J211-I211)/(I211-G211),(I211-J211)/(G211-I211)))</f>
        <v/>
      </c>
      <c r="O211" s="2" t="str">
        <f aca="false">IF(OR(B211="",K211=""),"",IFERROR(K211-B211,""))</f>
        <v/>
      </c>
      <c r="P211" s="2" t="str">
        <f aca="false">IF(M211="","",IF(M211&gt;0,1,0))</f>
        <v/>
      </c>
    </row>
    <row r="212" customFormat="false" ht="15" hidden="false" customHeight="false" outlineLevel="0" collapsed="false">
      <c r="M212" s="24" t="str">
        <f aca="false">IF(OR(I212="",J212=""),"",IF(E212="Buy",(J212-I212)/I212,(I212-J212)/I212))</f>
        <v/>
      </c>
      <c r="N212" s="25" t="str">
        <f aca="false">IF(OR(I212="",J212="",I212=G212),"",IF(E212="Buy",(J212-I212)/(I212-G212),(I212-J212)/(G212-I212)))</f>
        <v/>
      </c>
      <c r="O212" s="2" t="str">
        <f aca="false">IF(OR(B212="",K212=""),"",IFERROR(K212-B212,""))</f>
        <v/>
      </c>
      <c r="P212" s="2" t="str">
        <f aca="false">IF(M212="","",IF(M212&gt;0,1,0))</f>
        <v/>
      </c>
    </row>
    <row r="213" customFormat="false" ht="15" hidden="false" customHeight="false" outlineLevel="0" collapsed="false">
      <c r="M213" s="24" t="str">
        <f aca="false">IF(OR(I213="",J213=""),"",IF(E213="Buy",(J213-I213)/I213,(I213-J213)/I213))</f>
        <v/>
      </c>
      <c r="N213" s="25" t="str">
        <f aca="false">IF(OR(I213="",J213="",I213=G213),"",IF(E213="Buy",(J213-I213)/(I213-G213),(I213-J213)/(G213-I213)))</f>
        <v/>
      </c>
      <c r="O213" s="2" t="str">
        <f aca="false">IF(OR(B213="",K213=""),"",IFERROR(K213-B213,""))</f>
        <v/>
      </c>
      <c r="P213" s="2" t="str">
        <f aca="false">IF(M213="","",IF(M213&gt;0,1,0))</f>
        <v/>
      </c>
    </row>
    <row r="214" customFormat="false" ht="15" hidden="false" customHeight="false" outlineLevel="0" collapsed="false">
      <c r="M214" s="24" t="str">
        <f aca="false">IF(OR(I214="",J214=""),"",IF(E214="Buy",(J214-I214)/I214,(I214-J214)/I214))</f>
        <v/>
      </c>
      <c r="N214" s="25" t="str">
        <f aca="false">IF(OR(I214="",J214="",I214=G214),"",IF(E214="Buy",(J214-I214)/(I214-G214),(I214-J214)/(G214-I214)))</f>
        <v/>
      </c>
      <c r="O214" s="2" t="str">
        <f aca="false">IF(OR(B214="",K214=""),"",IFERROR(K214-B214,""))</f>
        <v/>
      </c>
      <c r="P214" s="2" t="str">
        <f aca="false">IF(M214="","",IF(M214&gt;0,1,0))</f>
        <v/>
      </c>
    </row>
    <row r="215" customFormat="false" ht="15" hidden="false" customHeight="false" outlineLevel="0" collapsed="false">
      <c r="M215" s="24" t="str">
        <f aca="false">IF(OR(I215="",J215=""),"",IF(E215="Buy",(J215-I215)/I215,(I215-J215)/I215))</f>
        <v/>
      </c>
      <c r="N215" s="25" t="str">
        <f aca="false">IF(OR(I215="",J215="",I215=G215),"",IF(E215="Buy",(J215-I215)/(I215-G215),(I215-J215)/(G215-I215)))</f>
        <v/>
      </c>
      <c r="O215" s="2" t="str">
        <f aca="false">IF(OR(B215="",K215=""),"",IFERROR(K215-B215,""))</f>
        <v/>
      </c>
      <c r="P215" s="2" t="str">
        <f aca="false">IF(M215="","",IF(M215&gt;0,1,0))</f>
        <v/>
      </c>
    </row>
    <row r="216" customFormat="false" ht="15" hidden="false" customHeight="false" outlineLevel="0" collapsed="false">
      <c r="M216" s="24" t="str">
        <f aca="false">IF(OR(I216="",J216=""),"",IF(E216="Buy",(J216-I216)/I216,(I216-J216)/I216))</f>
        <v/>
      </c>
      <c r="N216" s="25" t="str">
        <f aca="false">IF(OR(I216="",J216="",I216=G216),"",IF(E216="Buy",(J216-I216)/(I216-G216),(I216-J216)/(G216-I216)))</f>
        <v/>
      </c>
      <c r="O216" s="2" t="str">
        <f aca="false">IF(OR(B216="",K216=""),"",IFERROR(K216-B216,""))</f>
        <v/>
      </c>
      <c r="P216" s="2" t="str">
        <f aca="false">IF(M216="","",IF(M216&gt;0,1,0))</f>
        <v/>
      </c>
    </row>
    <row r="217" customFormat="false" ht="15" hidden="false" customHeight="false" outlineLevel="0" collapsed="false">
      <c r="M217" s="24" t="str">
        <f aca="false">IF(OR(I217="",J217=""),"",IF(E217="Buy",(J217-I217)/I217,(I217-J217)/I217))</f>
        <v/>
      </c>
      <c r="N217" s="25" t="str">
        <f aca="false">IF(OR(I217="",J217="",I217=G217),"",IF(E217="Buy",(J217-I217)/(I217-G217),(I217-J217)/(G217-I217)))</f>
        <v/>
      </c>
      <c r="O217" s="2" t="str">
        <f aca="false">IF(OR(B217="",K217=""),"",IFERROR(K217-B217,""))</f>
        <v/>
      </c>
      <c r="P217" s="2" t="str">
        <f aca="false">IF(M217="","",IF(M217&gt;0,1,0))</f>
        <v/>
      </c>
    </row>
    <row r="218" customFormat="false" ht="15" hidden="false" customHeight="false" outlineLevel="0" collapsed="false">
      <c r="M218" s="24" t="str">
        <f aca="false">IF(OR(I218="",J218=""),"",IF(E218="Buy",(J218-I218)/I218,(I218-J218)/I218))</f>
        <v/>
      </c>
      <c r="N218" s="25" t="str">
        <f aca="false">IF(OR(I218="",J218="",I218=G218),"",IF(E218="Buy",(J218-I218)/(I218-G218),(I218-J218)/(G218-I218)))</f>
        <v/>
      </c>
      <c r="O218" s="2" t="str">
        <f aca="false">IF(OR(B218="",K218=""),"",IFERROR(K218-B218,""))</f>
        <v/>
      </c>
      <c r="P218" s="2" t="str">
        <f aca="false">IF(M218="","",IF(M218&gt;0,1,0))</f>
        <v/>
      </c>
    </row>
    <row r="219" customFormat="false" ht="15" hidden="false" customHeight="false" outlineLevel="0" collapsed="false">
      <c r="M219" s="24" t="str">
        <f aca="false">IF(OR(I219="",J219=""),"",IF(E219="Buy",(J219-I219)/I219,(I219-J219)/I219))</f>
        <v/>
      </c>
      <c r="N219" s="25" t="str">
        <f aca="false">IF(OR(I219="",J219="",I219=G219),"",IF(E219="Buy",(J219-I219)/(I219-G219),(I219-J219)/(G219-I219)))</f>
        <v/>
      </c>
      <c r="O219" s="2" t="str">
        <f aca="false">IF(OR(B219="",K219=""),"",IFERROR(K219-B219,""))</f>
        <v/>
      </c>
      <c r="P219" s="2" t="str">
        <f aca="false">IF(M219="","",IF(M219&gt;0,1,0))</f>
        <v/>
      </c>
    </row>
    <row r="220" customFormat="false" ht="15" hidden="false" customHeight="false" outlineLevel="0" collapsed="false">
      <c r="M220" s="24" t="str">
        <f aca="false">IF(OR(I220="",J220=""),"",IF(E220="Buy",(J220-I220)/I220,(I220-J220)/I220))</f>
        <v/>
      </c>
      <c r="N220" s="25" t="str">
        <f aca="false">IF(OR(I220="",J220="",I220=G220),"",IF(E220="Buy",(J220-I220)/(I220-G220),(I220-J220)/(G220-I220)))</f>
        <v/>
      </c>
      <c r="O220" s="2" t="str">
        <f aca="false">IF(OR(B220="",K220=""),"",IFERROR(K220-B220,""))</f>
        <v/>
      </c>
      <c r="P220" s="2" t="str">
        <f aca="false">IF(M220="","",IF(M220&gt;0,1,0))</f>
        <v/>
      </c>
    </row>
    <row r="221" customFormat="false" ht="15" hidden="false" customHeight="false" outlineLevel="0" collapsed="false">
      <c r="M221" s="24" t="str">
        <f aca="false">IF(OR(I221="",J221=""),"",IF(E221="Buy",(J221-I221)/I221,(I221-J221)/I221))</f>
        <v/>
      </c>
      <c r="N221" s="25" t="str">
        <f aca="false">IF(OR(I221="",J221="",I221=G221),"",IF(E221="Buy",(J221-I221)/(I221-G221),(I221-J221)/(G221-I221)))</f>
        <v/>
      </c>
      <c r="O221" s="2" t="str">
        <f aca="false">IF(OR(B221="",K221=""),"",IFERROR(K221-B221,""))</f>
        <v/>
      </c>
      <c r="P221" s="2" t="str">
        <f aca="false">IF(M221="","",IF(M221&gt;0,1,0))</f>
        <v/>
      </c>
    </row>
    <row r="222" customFormat="false" ht="15" hidden="false" customHeight="false" outlineLevel="0" collapsed="false">
      <c r="M222" s="24" t="str">
        <f aca="false">IF(OR(I222="",J222=""),"",IF(E222="Buy",(J222-I222)/I222,(I222-J222)/I222))</f>
        <v/>
      </c>
      <c r="N222" s="25" t="str">
        <f aca="false">IF(OR(I222="",J222="",I222=G222),"",IF(E222="Buy",(J222-I222)/(I222-G222),(I222-J222)/(G222-I222)))</f>
        <v/>
      </c>
      <c r="O222" s="2" t="str">
        <f aca="false">IF(OR(B222="",K222=""),"",IFERROR(K222-B222,""))</f>
        <v/>
      </c>
      <c r="P222" s="2" t="str">
        <f aca="false">IF(M222="","",IF(M222&gt;0,1,0))</f>
        <v/>
      </c>
    </row>
    <row r="223" customFormat="false" ht="15" hidden="false" customHeight="false" outlineLevel="0" collapsed="false">
      <c r="M223" s="24" t="str">
        <f aca="false">IF(OR(I223="",J223=""),"",IF(E223="Buy",(J223-I223)/I223,(I223-J223)/I223))</f>
        <v/>
      </c>
      <c r="N223" s="25" t="str">
        <f aca="false">IF(OR(I223="",J223="",I223=G223),"",IF(E223="Buy",(J223-I223)/(I223-G223),(I223-J223)/(G223-I223)))</f>
        <v/>
      </c>
      <c r="O223" s="2" t="str">
        <f aca="false">IF(OR(B223="",K223=""),"",IFERROR(K223-B223,""))</f>
        <v/>
      </c>
      <c r="P223" s="2" t="str">
        <f aca="false">IF(M223="","",IF(M223&gt;0,1,0))</f>
        <v/>
      </c>
    </row>
    <row r="224" customFormat="false" ht="15" hidden="false" customHeight="false" outlineLevel="0" collapsed="false">
      <c r="M224" s="24" t="str">
        <f aca="false">IF(OR(I224="",J224=""),"",IF(E224="Buy",(J224-I224)/I224,(I224-J224)/I224))</f>
        <v/>
      </c>
      <c r="N224" s="25" t="str">
        <f aca="false">IF(OR(I224="",J224="",I224=G224),"",IF(E224="Buy",(J224-I224)/(I224-G224),(I224-J224)/(G224-I224)))</f>
        <v/>
      </c>
      <c r="O224" s="2" t="str">
        <f aca="false">IF(OR(B224="",K224=""),"",IFERROR(K224-B224,""))</f>
        <v/>
      </c>
      <c r="P224" s="2" t="str">
        <f aca="false">IF(M224="","",IF(M224&gt;0,1,0))</f>
        <v/>
      </c>
    </row>
    <row r="225" customFormat="false" ht="15" hidden="false" customHeight="false" outlineLevel="0" collapsed="false">
      <c r="M225" s="24" t="str">
        <f aca="false">IF(OR(I225="",J225=""),"",IF(E225="Buy",(J225-I225)/I225,(I225-J225)/I225))</f>
        <v/>
      </c>
      <c r="N225" s="25" t="str">
        <f aca="false">IF(OR(I225="",J225="",I225=G225),"",IF(E225="Buy",(J225-I225)/(I225-G225),(I225-J225)/(G225-I225)))</f>
        <v/>
      </c>
      <c r="O225" s="2" t="str">
        <f aca="false">IF(OR(B225="",K225=""),"",IFERROR(K225-B225,""))</f>
        <v/>
      </c>
      <c r="P225" s="2" t="str">
        <f aca="false">IF(M225="","",IF(M225&gt;0,1,0))</f>
        <v/>
      </c>
    </row>
    <row r="226" customFormat="false" ht="15" hidden="false" customHeight="false" outlineLevel="0" collapsed="false">
      <c r="M226" s="24" t="str">
        <f aca="false">IF(OR(I226="",J226=""),"",IF(E226="Buy",(J226-I226)/I226,(I226-J226)/I226))</f>
        <v/>
      </c>
      <c r="N226" s="25" t="str">
        <f aca="false">IF(OR(I226="",J226="",I226=G226),"",IF(E226="Buy",(J226-I226)/(I226-G226),(I226-J226)/(G226-I226)))</f>
        <v/>
      </c>
      <c r="O226" s="2" t="str">
        <f aca="false">IF(OR(B226="",K226=""),"",IFERROR(K226-B226,""))</f>
        <v/>
      </c>
      <c r="P226" s="2" t="str">
        <f aca="false">IF(M226="","",IF(M226&gt;0,1,0))</f>
        <v/>
      </c>
    </row>
    <row r="227" customFormat="false" ht="15" hidden="false" customHeight="false" outlineLevel="0" collapsed="false">
      <c r="M227" s="24" t="str">
        <f aca="false">IF(OR(I227="",J227=""),"",IF(E227="Buy",(J227-I227)/I227,(I227-J227)/I227))</f>
        <v/>
      </c>
      <c r="N227" s="25" t="str">
        <f aca="false">IF(OR(I227="",J227="",I227=G227),"",IF(E227="Buy",(J227-I227)/(I227-G227),(I227-J227)/(G227-I227)))</f>
        <v/>
      </c>
      <c r="O227" s="2" t="str">
        <f aca="false">IF(OR(B227="",K227=""),"",IFERROR(K227-B227,""))</f>
        <v/>
      </c>
      <c r="P227" s="2" t="str">
        <f aca="false">IF(M227="","",IF(M227&gt;0,1,0))</f>
        <v/>
      </c>
    </row>
    <row r="228" customFormat="false" ht="15" hidden="false" customHeight="false" outlineLevel="0" collapsed="false">
      <c r="M228" s="24" t="str">
        <f aca="false">IF(OR(I228="",J228=""),"",IF(E228="Buy",(J228-I228)/I228,(I228-J228)/I228))</f>
        <v/>
      </c>
      <c r="N228" s="25" t="str">
        <f aca="false">IF(OR(I228="",J228="",I228=G228),"",IF(E228="Buy",(J228-I228)/(I228-G228),(I228-J228)/(G228-I228)))</f>
        <v/>
      </c>
      <c r="O228" s="2" t="str">
        <f aca="false">IF(OR(B228="",K228=""),"",IFERROR(K228-B228,""))</f>
        <v/>
      </c>
      <c r="P228" s="2" t="str">
        <f aca="false">IF(M228="","",IF(M228&gt;0,1,0))</f>
        <v/>
      </c>
    </row>
    <row r="229" customFormat="false" ht="15" hidden="false" customHeight="false" outlineLevel="0" collapsed="false">
      <c r="M229" s="24" t="str">
        <f aca="false">IF(OR(I229="",J229=""),"",IF(E229="Buy",(J229-I229)/I229,(I229-J229)/I229))</f>
        <v/>
      </c>
      <c r="N229" s="25" t="str">
        <f aca="false">IF(OR(I229="",J229="",I229=G229),"",IF(E229="Buy",(J229-I229)/(I229-G229),(I229-J229)/(G229-I229)))</f>
        <v/>
      </c>
      <c r="O229" s="2" t="str">
        <f aca="false">IF(OR(B229="",K229=""),"",IFERROR(K229-B229,""))</f>
        <v/>
      </c>
      <c r="P229" s="2" t="str">
        <f aca="false">IF(M229="","",IF(M229&gt;0,1,0))</f>
        <v/>
      </c>
    </row>
    <row r="230" customFormat="false" ht="15" hidden="false" customHeight="false" outlineLevel="0" collapsed="false">
      <c r="M230" s="24" t="str">
        <f aca="false">IF(OR(I230="",J230=""),"",IF(E230="Buy",(J230-I230)/I230,(I230-J230)/I230))</f>
        <v/>
      </c>
      <c r="N230" s="25" t="str">
        <f aca="false">IF(OR(I230="",J230="",I230=G230),"",IF(E230="Buy",(J230-I230)/(I230-G230),(I230-J230)/(G230-I230)))</f>
        <v/>
      </c>
      <c r="O230" s="2" t="str">
        <f aca="false">IF(OR(B230="",K230=""),"",IFERROR(K230-B230,""))</f>
        <v/>
      </c>
      <c r="P230" s="2" t="str">
        <f aca="false">IF(M230="","",IF(M230&gt;0,1,0))</f>
        <v/>
      </c>
    </row>
    <row r="231" customFormat="false" ht="15" hidden="false" customHeight="false" outlineLevel="0" collapsed="false">
      <c r="M231" s="24" t="str">
        <f aca="false">IF(OR(I231="",J231=""),"",IF(E231="Buy",(J231-I231)/I231,(I231-J231)/I231))</f>
        <v/>
      </c>
      <c r="N231" s="25" t="str">
        <f aca="false">IF(OR(I231="",J231="",I231=G231),"",IF(E231="Buy",(J231-I231)/(I231-G231),(I231-J231)/(G231-I231)))</f>
        <v/>
      </c>
      <c r="O231" s="2" t="str">
        <f aca="false">IF(OR(B231="",K231=""),"",IFERROR(K231-B231,""))</f>
        <v/>
      </c>
      <c r="P231" s="2" t="str">
        <f aca="false">IF(M231="","",IF(M231&gt;0,1,0))</f>
        <v/>
      </c>
    </row>
    <row r="232" customFormat="false" ht="15" hidden="false" customHeight="false" outlineLevel="0" collapsed="false">
      <c r="M232" s="24" t="str">
        <f aca="false">IF(OR(I232="",J232=""),"",IF(E232="Buy",(J232-I232)/I232,(I232-J232)/I232))</f>
        <v/>
      </c>
      <c r="N232" s="25" t="str">
        <f aca="false">IF(OR(I232="",J232="",I232=G232),"",IF(E232="Buy",(J232-I232)/(I232-G232),(I232-J232)/(G232-I232)))</f>
        <v/>
      </c>
      <c r="O232" s="2" t="str">
        <f aca="false">IF(OR(B232="",K232=""),"",IFERROR(K232-B232,""))</f>
        <v/>
      </c>
      <c r="P232" s="2" t="str">
        <f aca="false">IF(M232="","",IF(M232&gt;0,1,0))</f>
        <v/>
      </c>
    </row>
    <row r="233" customFormat="false" ht="15" hidden="false" customHeight="false" outlineLevel="0" collapsed="false">
      <c r="M233" s="24" t="str">
        <f aca="false">IF(OR(I233="",J233=""),"",IF(E233="Buy",(J233-I233)/I233,(I233-J233)/I233))</f>
        <v/>
      </c>
      <c r="N233" s="25" t="str">
        <f aca="false">IF(OR(I233="",J233="",I233=G233),"",IF(E233="Buy",(J233-I233)/(I233-G233),(I233-J233)/(G233-I233)))</f>
        <v/>
      </c>
      <c r="O233" s="2" t="str">
        <f aca="false">IF(OR(B233="",K233=""),"",IFERROR(K233-B233,""))</f>
        <v/>
      </c>
      <c r="P233" s="2" t="str">
        <f aca="false">IF(M233="","",IF(M233&gt;0,1,0))</f>
        <v/>
      </c>
    </row>
    <row r="234" customFormat="false" ht="15" hidden="false" customHeight="false" outlineLevel="0" collapsed="false">
      <c r="M234" s="24" t="str">
        <f aca="false">IF(OR(I234="",J234=""),"",IF(E234="Buy",(J234-I234)/I234,(I234-J234)/I234))</f>
        <v/>
      </c>
      <c r="N234" s="25" t="str">
        <f aca="false">IF(OR(I234="",J234="",I234=G234),"",IF(E234="Buy",(J234-I234)/(I234-G234),(I234-J234)/(G234-I234)))</f>
        <v/>
      </c>
      <c r="O234" s="2" t="str">
        <f aca="false">IF(OR(B234="",K234=""),"",IFERROR(K234-B234,""))</f>
        <v/>
      </c>
      <c r="P234" s="2" t="str">
        <f aca="false">IF(M234="","",IF(M234&gt;0,1,0))</f>
        <v/>
      </c>
    </row>
    <row r="235" customFormat="false" ht="15" hidden="false" customHeight="false" outlineLevel="0" collapsed="false">
      <c r="M235" s="24" t="str">
        <f aca="false">IF(OR(I235="",J235=""),"",IF(E235="Buy",(J235-I235)/I235,(I235-J235)/I235))</f>
        <v/>
      </c>
      <c r="N235" s="25" t="str">
        <f aca="false">IF(OR(I235="",J235="",I235=G235),"",IF(E235="Buy",(J235-I235)/(I235-G235),(I235-J235)/(G235-I235)))</f>
        <v/>
      </c>
      <c r="O235" s="2" t="str">
        <f aca="false">IF(OR(B235="",K235=""),"",IFERROR(K235-B235,""))</f>
        <v/>
      </c>
      <c r="P235" s="2" t="str">
        <f aca="false">IF(M235="","",IF(M235&gt;0,1,0))</f>
        <v/>
      </c>
    </row>
    <row r="236" customFormat="false" ht="15" hidden="false" customHeight="false" outlineLevel="0" collapsed="false">
      <c r="M236" s="24" t="str">
        <f aca="false">IF(OR(I236="",J236=""),"",IF(E236="Buy",(J236-I236)/I236,(I236-J236)/I236))</f>
        <v/>
      </c>
      <c r="N236" s="25" t="str">
        <f aca="false">IF(OR(I236="",J236="",I236=G236),"",IF(E236="Buy",(J236-I236)/(I236-G236),(I236-J236)/(G236-I236)))</f>
        <v/>
      </c>
      <c r="O236" s="2" t="str">
        <f aca="false">IF(OR(B236="",K236=""),"",IFERROR(K236-B236,""))</f>
        <v/>
      </c>
      <c r="P236" s="2" t="str">
        <f aca="false">IF(M236="","",IF(M236&gt;0,1,0))</f>
        <v/>
      </c>
    </row>
    <row r="237" customFormat="false" ht="15" hidden="false" customHeight="false" outlineLevel="0" collapsed="false">
      <c r="M237" s="24" t="str">
        <f aca="false">IF(OR(I237="",J237=""),"",IF(E237="Buy",(J237-I237)/I237,(I237-J237)/I237))</f>
        <v/>
      </c>
      <c r="N237" s="25" t="str">
        <f aca="false">IF(OR(I237="",J237="",I237=G237),"",IF(E237="Buy",(J237-I237)/(I237-G237),(I237-J237)/(G237-I237)))</f>
        <v/>
      </c>
      <c r="O237" s="2" t="str">
        <f aca="false">IF(OR(B237="",K237=""),"",IFERROR(K237-B237,""))</f>
        <v/>
      </c>
      <c r="P237" s="2" t="str">
        <f aca="false">IF(M237="","",IF(M237&gt;0,1,0))</f>
        <v/>
      </c>
    </row>
    <row r="238" customFormat="false" ht="15" hidden="false" customHeight="false" outlineLevel="0" collapsed="false">
      <c r="M238" s="24" t="str">
        <f aca="false">IF(OR(I238="",J238=""),"",IF(E238="Buy",(J238-I238)/I238,(I238-J238)/I238))</f>
        <v/>
      </c>
      <c r="N238" s="25" t="str">
        <f aca="false">IF(OR(I238="",J238="",I238=G238),"",IF(E238="Buy",(J238-I238)/(I238-G238),(I238-J238)/(G238-I238)))</f>
        <v/>
      </c>
      <c r="O238" s="2" t="str">
        <f aca="false">IF(OR(B238="",K238=""),"",IFERROR(K238-B238,""))</f>
        <v/>
      </c>
      <c r="P238" s="2" t="str">
        <f aca="false">IF(M238="","",IF(M238&gt;0,1,0))</f>
        <v/>
      </c>
    </row>
    <row r="239" customFormat="false" ht="15" hidden="false" customHeight="false" outlineLevel="0" collapsed="false">
      <c r="M239" s="24" t="str">
        <f aca="false">IF(OR(I239="",J239=""),"",IF(E239="Buy",(J239-I239)/I239,(I239-J239)/I239))</f>
        <v/>
      </c>
      <c r="N239" s="25" t="str">
        <f aca="false">IF(OR(I239="",J239="",I239=G239),"",IF(E239="Buy",(J239-I239)/(I239-G239),(I239-J239)/(G239-I239)))</f>
        <v/>
      </c>
      <c r="O239" s="2" t="str">
        <f aca="false">IF(OR(B239="",K239=""),"",IFERROR(K239-B239,""))</f>
        <v/>
      </c>
      <c r="P239" s="2" t="str">
        <f aca="false">IF(M239="","",IF(M239&gt;0,1,0))</f>
        <v/>
      </c>
    </row>
    <row r="240" customFormat="false" ht="15" hidden="false" customHeight="false" outlineLevel="0" collapsed="false">
      <c r="M240" s="24" t="str">
        <f aca="false">IF(OR(I240="",J240=""),"",IF(E240="Buy",(J240-I240)/I240,(I240-J240)/I240))</f>
        <v/>
      </c>
      <c r="N240" s="25" t="str">
        <f aca="false">IF(OR(I240="",J240="",I240=G240),"",IF(E240="Buy",(J240-I240)/(I240-G240),(I240-J240)/(G240-I240)))</f>
        <v/>
      </c>
      <c r="O240" s="2" t="str">
        <f aca="false">IF(OR(B240="",K240=""),"",IFERROR(K240-B240,""))</f>
        <v/>
      </c>
      <c r="P240" s="2" t="str">
        <f aca="false">IF(M240="","",IF(M240&gt;0,1,0))</f>
        <v/>
      </c>
    </row>
    <row r="241" customFormat="false" ht="15" hidden="false" customHeight="false" outlineLevel="0" collapsed="false">
      <c r="M241" s="24" t="str">
        <f aca="false">IF(OR(I241="",J241=""),"",IF(E241="Buy",(J241-I241)/I241,(I241-J241)/I241))</f>
        <v/>
      </c>
      <c r="N241" s="25" t="str">
        <f aca="false">IF(OR(I241="",J241="",I241=G241),"",IF(E241="Buy",(J241-I241)/(I241-G241),(I241-J241)/(G241-I241)))</f>
        <v/>
      </c>
      <c r="O241" s="2" t="str">
        <f aca="false">IF(OR(B241="",K241=""),"",IFERROR(K241-B241,""))</f>
        <v/>
      </c>
      <c r="P241" s="2" t="str">
        <f aca="false">IF(M241="","",IF(M241&gt;0,1,0))</f>
        <v/>
      </c>
    </row>
    <row r="242" customFormat="false" ht="15" hidden="false" customHeight="false" outlineLevel="0" collapsed="false">
      <c r="M242" s="24" t="str">
        <f aca="false">IF(OR(I242="",J242=""),"",IF(E242="Buy",(J242-I242)/I242,(I242-J242)/I242))</f>
        <v/>
      </c>
      <c r="N242" s="25" t="str">
        <f aca="false">IF(OR(I242="",J242="",I242=G242),"",IF(E242="Buy",(J242-I242)/(I242-G242),(I242-J242)/(G242-I242)))</f>
        <v/>
      </c>
      <c r="O242" s="2" t="str">
        <f aca="false">IF(OR(B242="",K242=""),"",IFERROR(K242-B242,""))</f>
        <v/>
      </c>
      <c r="P242" s="2" t="str">
        <f aca="false">IF(M242="","",IF(M242&gt;0,1,0))</f>
        <v/>
      </c>
    </row>
    <row r="243" customFormat="false" ht="15" hidden="false" customHeight="false" outlineLevel="0" collapsed="false">
      <c r="M243" s="24" t="str">
        <f aca="false">IF(OR(I243="",J243=""),"",IF(E243="Buy",(J243-I243)/I243,(I243-J243)/I243))</f>
        <v/>
      </c>
      <c r="N243" s="25" t="str">
        <f aca="false">IF(OR(I243="",J243="",I243=G243),"",IF(E243="Buy",(J243-I243)/(I243-G243),(I243-J243)/(G243-I243)))</f>
        <v/>
      </c>
      <c r="O243" s="2" t="str">
        <f aca="false">IF(OR(B243="",K243=""),"",IFERROR(K243-B243,""))</f>
        <v/>
      </c>
      <c r="P243" s="2" t="str">
        <f aca="false">IF(M243="","",IF(M243&gt;0,1,0))</f>
        <v/>
      </c>
    </row>
    <row r="244" customFormat="false" ht="15" hidden="false" customHeight="false" outlineLevel="0" collapsed="false">
      <c r="M244" s="24" t="str">
        <f aca="false">IF(OR(I244="",J244=""),"",IF(E244="Buy",(J244-I244)/I244,(I244-J244)/I244))</f>
        <v/>
      </c>
      <c r="N244" s="25" t="str">
        <f aca="false">IF(OR(I244="",J244="",I244=G244),"",IF(E244="Buy",(J244-I244)/(I244-G244),(I244-J244)/(G244-I244)))</f>
        <v/>
      </c>
      <c r="O244" s="2" t="str">
        <f aca="false">IF(OR(B244="",K244=""),"",IFERROR(K244-B244,""))</f>
        <v/>
      </c>
      <c r="P244" s="2" t="str">
        <f aca="false">IF(M244="","",IF(M244&gt;0,1,0))</f>
        <v/>
      </c>
    </row>
    <row r="245" customFormat="false" ht="15" hidden="false" customHeight="false" outlineLevel="0" collapsed="false">
      <c r="M245" s="24" t="str">
        <f aca="false">IF(OR(I245="",J245=""),"",IF(E245="Buy",(J245-I245)/I245,(I245-J245)/I245))</f>
        <v/>
      </c>
      <c r="N245" s="25" t="str">
        <f aca="false">IF(OR(I245="",J245="",I245=G245),"",IF(E245="Buy",(J245-I245)/(I245-G245),(I245-J245)/(G245-I245)))</f>
        <v/>
      </c>
      <c r="O245" s="2" t="str">
        <f aca="false">IF(OR(B245="",K245=""),"",IFERROR(K245-B245,""))</f>
        <v/>
      </c>
      <c r="P245" s="2" t="str">
        <f aca="false">IF(M245="","",IF(M245&gt;0,1,0))</f>
        <v/>
      </c>
    </row>
    <row r="246" customFormat="false" ht="15" hidden="false" customHeight="false" outlineLevel="0" collapsed="false">
      <c r="M246" s="24" t="str">
        <f aca="false">IF(OR(I246="",J246=""),"",IF(E246="Buy",(J246-I246)/I246,(I246-J246)/I246))</f>
        <v/>
      </c>
      <c r="N246" s="25" t="str">
        <f aca="false">IF(OR(I246="",J246="",I246=G246),"",IF(E246="Buy",(J246-I246)/(I246-G246),(I246-J246)/(G246-I246)))</f>
        <v/>
      </c>
      <c r="O246" s="2" t="str">
        <f aca="false">IF(OR(B246="",K246=""),"",IFERROR(K246-B246,""))</f>
        <v/>
      </c>
      <c r="P246" s="2" t="str">
        <f aca="false">IF(M246="","",IF(M246&gt;0,1,0))</f>
        <v/>
      </c>
    </row>
    <row r="247" customFormat="false" ht="15" hidden="false" customHeight="false" outlineLevel="0" collapsed="false">
      <c r="M247" s="24" t="str">
        <f aca="false">IF(OR(I247="",J247=""),"",IF(E247="Buy",(J247-I247)/I247,(I247-J247)/I247))</f>
        <v/>
      </c>
      <c r="N247" s="25" t="str">
        <f aca="false">IF(OR(I247="",J247="",I247=G247),"",IF(E247="Buy",(J247-I247)/(I247-G247),(I247-J247)/(G247-I247)))</f>
        <v/>
      </c>
      <c r="O247" s="2" t="str">
        <f aca="false">IF(OR(B247="",K247=""),"",IFERROR(K247-B247,""))</f>
        <v/>
      </c>
      <c r="P247" s="2" t="str">
        <f aca="false">IF(M247="","",IF(M247&gt;0,1,0))</f>
        <v/>
      </c>
    </row>
    <row r="248" customFormat="false" ht="15" hidden="false" customHeight="false" outlineLevel="0" collapsed="false">
      <c r="M248" s="24" t="str">
        <f aca="false">IF(OR(I248="",J248=""),"",IF(E248="Buy",(J248-I248)/I248,(I248-J248)/I248))</f>
        <v/>
      </c>
      <c r="N248" s="25" t="str">
        <f aca="false">IF(OR(I248="",J248="",I248=G248),"",IF(E248="Buy",(J248-I248)/(I248-G248),(I248-J248)/(G248-I248)))</f>
        <v/>
      </c>
      <c r="O248" s="2" t="str">
        <f aca="false">IF(OR(B248="",K248=""),"",IFERROR(K248-B248,""))</f>
        <v/>
      </c>
      <c r="P248" s="2" t="str">
        <f aca="false">IF(M248="","",IF(M248&gt;0,1,0))</f>
        <v/>
      </c>
    </row>
    <row r="249" customFormat="false" ht="15" hidden="false" customHeight="false" outlineLevel="0" collapsed="false">
      <c r="M249" s="24" t="str">
        <f aca="false">IF(OR(I249="",J249=""),"",IF(E249="Buy",(J249-I249)/I249,(I249-J249)/I249))</f>
        <v/>
      </c>
      <c r="N249" s="25" t="str">
        <f aca="false">IF(OR(I249="",J249="",I249=G249),"",IF(E249="Buy",(J249-I249)/(I249-G249),(I249-J249)/(G249-I249)))</f>
        <v/>
      </c>
      <c r="O249" s="2" t="str">
        <f aca="false">IF(OR(B249="",K249=""),"",IFERROR(K249-B249,""))</f>
        <v/>
      </c>
      <c r="P249" s="2" t="str">
        <f aca="false">IF(M249="","",IF(M249&gt;0,1,0))</f>
        <v/>
      </c>
    </row>
    <row r="250" customFormat="false" ht="15" hidden="false" customHeight="false" outlineLevel="0" collapsed="false">
      <c r="M250" s="24" t="str">
        <f aca="false">IF(OR(I250="",J250=""),"",IF(E250="Buy",(J250-I250)/I250,(I250-J250)/I250))</f>
        <v/>
      </c>
      <c r="N250" s="25" t="str">
        <f aca="false">IF(OR(I250="",J250="",I250=G250),"",IF(E250="Buy",(J250-I250)/(I250-G250),(I250-J250)/(G250-I250)))</f>
        <v/>
      </c>
      <c r="O250" s="2" t="str">
        <f aca="false">IF(OR(B250="",K250=""),"",IFERROR(K250-B250,""))</f>
        <v/>
      </c>
      <c r="P250" s="2" t="str">
        <f aca="false">IF(M250="","",IF(M250&gt;0,1,0))</f>
        <v/>
      </c>
    </row>
    <row r="251" customFormat="false" ht="15" hidden="false" customHeight="false" outlineLevel="0" collapsed="false">
      <c r="M251" s="24" t="str">
        <f aca="false">IF(OR(I251="",J251=""),"",IF(E251="Buy",(J251-I251)/I251,(I251-J251)/I251))</f>
        <v/>
      </c>
      <c r="N251" s="25" t="str">
        <f aca="false">IF(OR(I251="",J251="",I251=G251),"",IF(E251="Buy",(J251-I251)/(I251-G251),(I251-J251)/(G251-I251)))</f>
        <v/>
      </c>
      <c r="O251" s="2" t="str">
        <f aca="false">IF(OR(B251="",K251=""),"",IFERROR(K251-B251,""))</f>
        <v/>
      </c>
      <c r="P251" s="2" t="str">
        <f aca="false">IF(M251="","",IF(M251&gt;0,1,0))</f>
        <v/>
      </c>
    </row>
    <row r="252" customFormat="false" ht="15" hidden="false" customHeight="false" outlineLevel="0" collapsed="false">
      <c r="M252" s="24" t="str">
        <f aca="false">IF(OR(I252="",J252=""),"",IF(E252="Buy",(J252-I252)/I252,(I252-J252)/I252))</f>
        <v/>
      </c>
      <c r="N252" s="25" t="str">
        <f aca="false">IF(OR(I252="",J252="",I252=G252),"",IF(E252="Buy",(J252-I252)/(I252-G252),(I252-J252)/(G252-I252)))</f>
        <v/>
      </c>
      <c r="O252" s="2" t="str">
        <f aca="false">IF(OR(B252="",K252=""),"",IFERROR(K252-B252,""))</f>
        <v/>
      </c>
      <c r="P252" s="2" t="str">
        <f aca="false">IF(M252="","",IF(M252&gt;0,1,0))</f>
        <v/>
      </c>
    </row>
    <row r="253" customFormat="false" ht="15" hidden="false" customHeight="false" outlineLevel="0" collapsed="false">
      <c r="M253" s="24" t="str">
        <f aca="false">IF(OR(I253="",J253=""),"",IF(E253="Buy",(J253-I253)/I253,(I253-J253)/I253))</f>
        <v/>
      </c>
      <c r="N253" s="25" t="str">
        <f aca="false">IF(OR(I253="",J253="",I253=G253),"",IF(E253="Buy",(J253-I253)/(I253-G253),(I253-J253)/(G253-I253)))</f>
        <v/>
      </c>
      <c r="O253" s="2" t="str">
        <f aca="false">IF(OR(B253="",K253=""),"",IFERROR(K253-B253,""))</f>
        <v/>
      </c>
      <c r="P253" s="2" t="str">
        <f aca="false">IF(M253="","",IF(M253&gt;0,1,0))</f>
        <v/>
      </c>
    </row>
    <row r="254" customFormat="false" ht="15" hidden="false" customHeight="false" outlineLevel="0" collapsed="false">
      <c r="M254" s="24" t="str">
        <f aca="false">IF(OR(I254="",J254=""),"",IF(E254="Buy",(J254-I254)/I254,(I254-J254)/I254))</f>
        <v/>
      </c>
      <c r="N254" s="25" t="str">
        <f aca="false">IF(OR(I254="",J254="",I254=G254),"",IF(E254="Buy",(J254-I254)/(I254-G254),(I254-J254)/(G254-I254)))</f>
        <v/>
      </c>
      <c r="O254" s="2" t="str">
        <f aca="false">IF(OR(B254="",K254=""),"",IFERROR(K254-B254,""))</f>
        <v/>
      </c>
      <c r="P254" s="2" t="str">
        <f aca="false">IF(M254="","",IF(M254&gt;0,1,0))</f>
        <v/>
      </c>
    </row>
    <row r="255" customFormat="false" ht="15" hidden="false" customHeight="false" outlineLevel="0" collapsed="false">
      <c r="M255" s="24" t="str">
        <f aca="false">IF(OR(I255="",J255=""),"",IF(E255="Buy",(J255-I255)/I255,(I255-J255)/I255))</f>
        <v/>
      </c>
      <c r="N255" s="25" t="str">
        <f aca="false">IF(OR(I255="",J255="",I255=G255),"",IF(E255="Buy",(J255-I255)/(I255-G255),(I255-J255)/(G255-I255)))</f>
        <v/>
      </c>
      <c r="O255" s="2" t="str">
        <f aca="false">IF(OR(B255="",K255=""),"",IFERROR(K255-B255,""))</f>
        <v/>
      </c>
      <c r="P255" s="2" t="str">
        <f aca="false">IF(M255="","",IF(M255&gt;0,1,0))</f>
        <v/>
      </c>
    </row>
    <row r="256" customFormat="false" ht="15" hidden="false" customHeight="false" outlineLevel="0" collapsed="false">
      <c r="M256" s="24" t="str">
        <f aca="false">IF(OR(I256="",J256=""),"",IF(E256="Buy",(J256-I256)/I256,(I256-J256)/I256))</f>
        <v/>
      </c>
      <c r="N256" s="25" t="str">
        <f aca="false">IF(OR(I256="",J256="",I256=G256),"",IF(E256="Buy",(J256-I256)/(I256-G256),(I256-J256)/(G256-I256)))</f>
        <v/>
      </c>
      <c r="O256" s="2" t="str">
        <f aca="false">IF(OR(B256="",K256=""),"",IFERROR(K256-B256,""))</f>
        <v/>
      </c>
      <c r="P256" s="2" t="str">
        <f aca="false">IF(M256="","",IF(M256&gt;0,1,0))</f>
        <v/>
      </c>
    </row>
    <row r="257" customFormat="false" ht="15" hidden="false" customHeight="false" outlineLevel="0" collapsed="false">
      <c r="M257" s="24" t="str">
        <f aca="false">IF(OR(I257="",J257=""),"",IF(E257="Buy",(J257-I257)/I257,(I257-J257)/I257))</f>
        <v/>
      </c>
      <c r="N257" s="25" t="str">
        <f aca="false">IF(OR(I257="",J257="",I257=G257),"",IF(E257="Buy",(J257-I257)/(I257-G257),(I257-J257)/(G257-I257)))</f>
        <v/>
      </c>
      <c r="O257" s="2" t="str">
        <f aca="false">IF(OR(B257="",K257=""),"",IFERROR(K257-B257,""))</f>
        <v/>
      </c>
      <c r="P257" s="2" t="str">
        <f aca="false">IF(M257="","",IF(M257&gt;0,1,0))</f>
        <v/>
      </c>
    </row>
    <row r="258" customFormat="false" ht="15" hidden="false" customHeight="false" outlineLevel="0" collapsed="false">
      <c r="M258" s="24" t="str">
        <f aca="false">IF(OR(I258="",J258=""),"",IF(E258="Buy",(J258-I258)/I258,(I258-J258)/I258))</f>
        <v/>
      </c>
      <c r="N258" s="25" t="str">
        <f aca="false">IF(OR(I258="",J258="",I258=G258),"",IF(E258="Buy",(J258-I258)/(I258-G258),(I258-J258)/(G258-I258)))</f>
        <v/>
      </c>
      <c r="O258" s="2" t="str">
        <f aca="false">IF(OR(B258="",K258=""),"",IFERROR(K258-B258,""))</f>
        <v/>
      </c>
      <c r="P258" s="2" t="str">
        <f aca="false">IF(M258="","",IF(M258&gt;0,1,0))</f>
        <v/>
      </c>
    </row>
    <row r="259" customFormat="false" ht="15" hidden="false" customHeight="false" outlineLevel="0" collapsed="false">
      <c r="M259" s="24" t="str">
        <f aca="false">IF(OR(I259="",J259=""),"",IF(E259="Buy",(J259-I259)/I259,(I259-J259)/I259))</f>
        <v/>
      </c>
      <c r="N259" s="25" t="str">
        <f aca="false">IF(OR(I259="",J259="",I259=G259),"",IF(E259="Buy",(J259-I259)/(I259-G259),(I259-J259)/(G259-I259)))</f>
        <v/>
      </c>
      <c r="O259" s="2" t="str">
        <f aca="false">IF(OR(B259="",K259=""),"",IFERROR(K259-B259,""))</f>
        <v/>
      </c>
      <c r="P259" s="2" t="str">
        <f aca="false">IF(M259="","",IF(M259&gt;0,1,0))</f>
        <v/>
      </c>
    </row>
    <row r="260" customFormat="false" ht="15" hidden="false" customHeight="false" outlineLevel="0" collapsed="false">
      <c r="M260" s="24" t="str">
        <f aca="false">IF(OR(I260="",J260=""),"",IF(E260="Buy",(J260-I260)/I260,(I260-J260)/I260))</f>
        <v/>
      </c>
      <c r="N260" s="25" t="str">
        <f aca="false">IF(OR(I260="",J260="",I260=G260),"",IF(E260="Buy",(J260-I260)/(I260-G260),(I260-J260)/(G260-I260)))</f>
        <v/>
      </c>
      <c r="O260" s="2" t="str">
        <f aca="false">IF(OR(B260="",K260=""),"",IFERROR(K260-B260,""))</f>
        <v/>
      </c>
      <c r="P260" s="2" t="str">
        <f aca="false">IF(M260="","",IF(M260&gt;0,1,0))</f>
        <v/>
      </c>
    </row>
    <row r="261" customFormat="false" ht="15" hidden="false" customHeight="false" outlineLevel="0" collapsed="false">
      <c r="M261" s="24" t="str">
        <f aca="false">IF(OR(I261="",J261=""),"",IF(E261="Buy",(J261-I261)/I261,(I261-J261)/I261))</f>
        <v/>
      </c>
      <c r="N261" s="25" t="str">
        <f aca="false">IF(OR(I261="",J261="",I261=G261),"",IF(E261="Buy",(J261-I261)/(I261-G261),(I261-J261)/(G261-I261)))</f>
        <v/>
      </c>
      <c r="O261" s="2" t="str">
        <f aca="false">IF(OR(B261="",K261=""),"",IFERROR(K261-B261,""))</f>
        <v/>
      </c>
      <c r="P261" s="2" t="str">
        <f aca="false">IF(M261="","",IF(M261&gt;0,1,0))</f>
        <v/>
      </c>
    </row>
    <row r="262" customFormat="false" ht="15" hidden="false" customHeight="false" outlineLevel="0" collapsed="false">
      <c r="M262" s="24" t="str">
        <f aca="false">IF(OR(I262="",J262=""),"",IF(E262="Buy",(J262-I262)/I262,(I262-J262)/I262))</f>
        <v/>
      </c>
      <c r="N262" s="25" t="str">
        <f aca="false">IF(OR(I262="",J262="",I262=G262),"",IF(E262="Buy",(J262-I262)/(I262-G262),(I262-J262)/(G262-I262)))</f>
        <v/>
      </c>
      <c r="O262" s="2" t="str">
        <f aca="false">IF(OR(B262="",K262=""),"",IFERROR(K262-B262,""))</f>
        <v/>
      </c>
      <c r="P262" s="2" t="str">
        <f aca="false">IF(M262="","",IF(M262&gt;0,1,0))</f>
        <v/>
      </c>
    </row>
    <row r="263" customFormat="false" ht="15" hidden="false" customHeight="false" outlineLevel="0" collapsed="false">
      <c r="M263" s="24" t="str">
        <f aca="false">IF(OR(I263="",J263=""),"",IF(E263="Buy",(J263-I263)/I263,(I263-J263)/I263))</f>
        <v/>
      </c>
      <c r="N263" s="25" t="str">
        <f aca="false">IF(OR(I263="",J263="",I263=G263),"",IF(E263="Buy",(J263-I263)/(I263-G263),(I263-J263)/(G263-I263)))</f>
        <v/>
      </c>
      <c r="O263" s="2" t="str">
        <f aca="false">IF(OR(B263="",K263=""),"",IFERROR(K263-B263,""))</f>
        <v/>
      </c>
      <c r="P263" s="2" t="str">
        <f aca="false">IF(M263="","",IF(M263&gt;0,1,0))</f>
        <v/>
      </c>
    </row>
    <row r="264" customFormat="false" ht="15" hidden="false" customHeight="false" outlineLevel="0" collapsed="false">
      <c r="M264" s="24" t="str">
        <f aca="false">IF(OR(I264="",J264=""),"",IF(E264="Buy",(J264-I264)/I264,(I264-J264)/I264))</f>
        <v/>
      </c>
      <c r="N264" s="25" t="str">
        <f aca="false">IF(OR(I264="",J264="",I264=G264),"",IF(E264="Buy",(J264-I264)/(I264-G264),(I264-J264)/(G264-I264)))</f>
        <v/>
      </c>
      <c r="O264" s="2" t="str">
        <f aca="false">IF(OR(B264="",K264=""),"",IFERROR(K264-B264,""))</f>
        <v/>
      </c>
      <c r="P264" s="2" t="str">
        <f aca="false">IF(M264="","",IF(M264&gt;0,1,0))</f>
        <v/>
      </c>
    </row>
    <row r="265" customFormat="false" ht="15" hidden="false" customHeight="false" outlineLevel="0" collapsed="false">
      <c r="M265" s="24" t="str">
        <f aca="false">IF(OR(I265="",J265=""),"",IF(E265="Buy",(J265-I265)/I265,(I265-J265)/I265))</f>
        <v/>
      </c>
      <c r="N265" s="25" t="str">
        <f aca="false">IF(OR(I265="",J265="",I265=G265),"",IF(E265="Buy",(J265-I265)/(I265-G265),(I265-J265)/(G265-I265)))</f>
        <v/>
      </c>
      <c r="O265" s="2" t="str">
        <f aca="false">IF(OR(B265="",K265=""),"",IFERROR(K265-B265,""))</f>
        <v/>
      </c>
      <c r="P265" s="2" t="str">
        <f aca="false">IF(M265="","",IF(M265&gt;0,1,0))</f>
        <v/>
      </c>
    </row>
    <row r="266" customFormat="false" ht="15" hidden="false" customHeight="false" outlineLevel="0" collapsed="false">
      <c r="M266" s="24" t="str">
        <f aca="false">IF(OR(I266="",J266=""),"",IF(E266="Buy",(J266-I266)/I266,(I266-J266)/I266))</f>
        <v/>
      </c>
      <c r="N266" s="25" t="str">
        <f aca="false">IF(OR(I266="",J266="",I266=G266),"",IF(E266="Buy",(J266-I266)/(I266-G266),(I266-J266)/(G266-I266)))</f>
        <v/>
      </c>
      <c r="O266" s="2" t="str">
        <f aca="false">IF(OR(B266="",K266=""),"",IFERROR(K266-B266,""))</f>
        <v/>
      </c>
      <c r="P266" s="2" t="str">
        <f aca="false">IF(M266="","",IF(M266&gt;0,1,0))</f>
        <v/>
      </c>
    </row>
    <row r="267" customFormat="false" ht="15" hidden="false" customHeight="false" outlineLevel="0" collapsed="false">
      <c r="M267" s="24" t="str">
        <f aca="false">IF(OR(I267="",J267=""),"",IF(E267="Buy",(J267-I267)/I267,(I267-J267)/I267))</f>
        <v/>
      </c>
      <c r="N267" s="25" t="str">
        <f aca="false">IF(OR(I267="",J267="",I267=G267),"",IF(E267="Buy",(J267-I267)/(I267-G267),(I267-J267)/(G267-I267)))</f>
        <v/>
      </c>
      <c r="O267" s="2" t="str">
        <f aca="false">IF(OR(B267="",K267=""),"",IFERROR(K267-B267,""))</f>
        <v/>
      </c>
      <c r="P267" s="2" t="str">
        <f aca="false">IF(M267="","",IF(M267&gt;0,1,0))</f>
        <v/>
      </c>
    </row>
    <row r="268" customFormat="false" ht="15" hidden="false" customHeight="false" outlineLevel="0" collapsed="false">
      <c r="M268" s="24" t="str">
        <f aca="false">IF(OR(I268="",J268=""),"",IF(E268="Buy",(J268-I268)/I268,(I268-J268)/I268))</f>
        <v/>
      </c>
      <c r="N268" s="25" t="str">
        <f aca="false">IF(OR(I268="",J268="",I268=G268),"",IF(E268="Buy",(J268-I268)/(I268-G268),(I268-J268)/(G268-I268)))</f>
        <v/>
      </c>
      <c r="O268" s="2" t="str">
        <f aca="false">IF(OR(B268="",K268=""),"",IFERROR(K268-B268,""))</f>
        <v/>
      </c>
      <c r="P268" s="2" t="str">
        <f aca="false">IF(M268="","",IF(M268&gt;0,1,0))</f>
        <v/>
      </c>
    </row>
    <row r="269" customFormat="false" ht="15" hidden="false" customHeight="false" outlineLevel="0" collapsed="false">
      <c r="M269" s="24" t="str">
        <f aca="false">IF(OR(I269="",J269=""),"",IF(E269="Buy",(J269-I269)/I269,(I269-J269)/I269))</f>
        <v/>
      </c>
      <c r="N269" s="25" t="str">
        <f aca="false">IF(OR(I269="",J269="",I269=G269),"",IF(E269="Buy",(J269-I269)/(I269-G269),(I269-J269)/(G269-I269)))</f>
        <v/>
      </c>
      <c r="O269" s="2" t="str">
        <f aca="false">IF(OR(B269="",K269=""),"",IFERROR(K269-B269,""))</f>
        <v/>
      </c>
      <c r="P269" s="2" t="str">
        <f aca="false">IF(M269="","",IF(M269&gt;0,1,0))</f>
        <v/>
      </c>
    </row>
    <row r="270" customFormat="false" ht="15" hidden="false" customHeight="false" outlineLevel="0" collapsed="false">
      <c r="M270" s="24" t="str">
        <f aca="false">IF(OR(I270="",J270=""),"",IF(E270="Buy",(J270-I270)/I270,(I270-J270)/I270))</f>
        <v/>
      </c>
      <c r="N270" s="25" t="str">
        <f aca="false">IF(OR(I270="",J270="",I270=G270),"",IF(E270="Buy",(J270-I270)/(I270-G270),(I270-J270)/(G270-I270)))</f>
        <v/>
      </c>
      <c r="O270" s="2" t="str">
        <f aca="false">IF(OR(B270="",K270=""),"",IFERROR(K270-B270,""))</f>
        <v/>
      </c>
      <c r="P270" s="2" t="str">
        <f aca="false">IF(M270="","",IF(M270&gt;0,1,0))</f>
        <v/>
      </c>
    </row>
    <row r="271" customFormat="false" ht="15" hidden="false" customHeight="false" outlineLevel="0" collapsed="false">
      <c r="M271" s="24" t="str">
        <f aca="false">IF(OR(I271="",J271=""),"",IF(E271="Buy",(J271-I271)/I271,(I271-J271)/I271))</f>
        <v/>
      </c>
      <c r="N271" s="25" t="str">
        <f aca="false">IF(OR(I271="",J271="",I271=G271),"",IF(E271="Buy",(J271-I271)/(I271-G271),(I271-J271)/(G271-I271)))</f>
        <v/>
      </c>
      <c r="O271" s="2" t="str">
        <f aca="false">IF(OR(B271="",K271=""),"",IFERROR(K271-B271,""))</f>
        <v/>
      </c>
      <c r="P271" s="2" t="str">
        <f aca="false">IF(M271="","",IF(M271&gt;0,1,0))</f>
        <v/>
      </c>
    </row>
    <row r="272" customFormat="false" ht="15" hidden="false" customHeight="false" outlineLevel="0" collapsed="false">
      <c r="M272" s="24" t="str">
        <f aca="false">IF(OR(I272="",J272=""),"",IF(E272="Buy",(J272-I272)/I272,(I272-J272)/I272))</f>
        <v/>
      </c>
      <c r="N272" s="25" t="str">
        <f aca="false">IF(OR(I272="",J272="",I272=G272),"",IF(E272="Buy",(J272-I272)/(I272-G272),(I272-J272)/(G272-I272)))</f>
        <v/>
      </c>
      <c r="O272" s="2" t="str">
        <f aca="false">IF(OR(B272="",K272=""),"",IFERROR(K272-B272,""))</f>
        <v/>
      </c>
      <c r="P272" s="2" t="str">
        <f aca="false">IF(M272="","",IF(M272&gt;0,1,0))</f>
        <v/>
      </c>
    </row>
    <row r="273" customFormat="false" ht="15" hidden="false" customHeight="false" outlineLevel="0" collapsed="false">
      <c r="M273" s="24" t="str">
        <f aca="false">IF(OR(I273="",J273=""),"",IF(E273="Buy",(J273-I273)/I273,(I273-J273)/I273))</f>
        <v/>
      </c>
      <c r="N273" s="25" t="str">
        <f aca="false">IF(OR(I273="",J273="",I273=G273),"",IF(E273="Buy",(J273-I273)/(I273-G273),(I273-J273)/(G273-I273)))</f>
        <v/>
      </c>
      <c r="O273" s="2" t="str">
        <f aca="false">IF(OR(B273="",K273=""),"",IFERROR(K273-B273,""))</f>
        <v/>
      </c>
      <c r="P273" s="2" t="str">
        <f aca="false">IF(M273="","",IF(M273&gt;0,1,0))</f>
        <v/>
      </c>
    </row>
    <row r="274" customFormat="false" ht="15" hidden="false" customHeight="false" outlineLevel="0" collapsed="false">
      <c r="M274" s="24" t="str">
        <f aca="false">IF(OR(I274="",J274=""),"",IF(E274="Buy",(J274-I274)/I274,(I274-J274)/I274))</f>
        <v/>
      </c>
      <c r="N274" s="25" t="str">
        <f aca="false">IF(OR(I274="",J274="",I274=G274),"",IF(E274="Buy",(J274-I274)/(I274-G274),(I274-J274)/(G274-I274)))</f>
        <v/>
      </c>
      <c r="O274" s="2" t="str">
        <f aca="false">IF(OR(B274="",K274=""),"",IFERROR(K274-B274,""))</f>
        <v/>
      </c>
      <c r="P274" s="2" t="str">
        <f aca="false">IF(M274="","",IF(M274&gt;0,1,0))</f>
        <v/>
      </c>
    </row>
    <row r="275" customFormat="false" ht="15" hidden="false" customHeight="false" outlineLevel="0" collapsed="false">
      <c r="M275" s="24" t="str">
        <f aca="false">IF(OR(I275="",J275=""),"",IF(E275="Buy",(J275-I275)/I275,(I275-J275)/I275))</f>
        <v/>
      </c>
      <c r="N275" s="25" t="str">
        <f aca="false">IF(OR(I275="",J275="",I275=G275),"",IF(E275="Buy",(J275-I275)/(I275-G275),(I275-J275)/(G275-I275)))</f>
        <v/>
      </c>
      <c r="O275" s="2" t="str">
        <f aca="false">IF(OR(B275="",K275=""),"",IFERROR(K275-B275,""))</f>
        <v/>
      </c>
      <c r="P275" s="2" t="str">
        <f aca="false">IF(M275="","",IF(M275&gt;0,1,0))</f>
        <v/>
      </c>
    </row>
    <row r="276" customFormat="false" ht="15" hidden="false" customHeight="false" outlineLevel="0" collapsed="false">
      <c r="M276" s="24" t="str">
        <f aca="false">IF(OR(I276="",J276=""),"",IF(E276="Buy",(J276-I276)/I276,(I276-J276)/I276))</f>
        <v/>
      </c>
      <c r="N276" s="25" t="str">
        <f aca="false">IF(OR(I276="",J276="",I276=G276),"",IF(E276="Buy",(J276-I276)/(I276-G276),(I276-J276)/(G276-I276)))</f>
        <v/>
      </c>
      <c r="O276" s="2" t="str">
        <f aca="false">IF(OR(B276="",K276=""),"",IFERROR(K276-B276,""))</f>
        <v/>
      </c>
      <c r="P276" s="2" t="str">
        <f aca="false">IF(M276="","",IF(M276&gt;0,1,0))</f>
        <v/>
      </c>
    </row>
    <row r="277" customFormat="false" ht="15" hidden="false" customHeight="false" outlineLevel="0" collapsed="false">
      <c r="M277" s="24" t="str">
        <f aca="false">IF(OR(I277="",J277=""),"",IF(E277="Buy",(J277-I277)/I277,(I277-J277)/I277))</f>
        <v/>
      </c>
      <c r="N277" s="25" t="str">
        <f aca="false">IF(OR(I277="",J277="",I277=G277),"",IF(E277="Buy",(J277-I277)/(I277-G277),(I277-J277)/(G277-I277)))</f>
        <v/>
      </c>
      <c r="O277" s="2" t="str">
        <f aca="false">IF(OR(B277="",K277=""),"",IFERROR(K277-B277,""))</f>
        <v/>
      </c>
      <c r="P277" s="2" t="str">
        <f aca="false">IF(M277="","",IF(M277&gt;0,1,0))</f>
        <v/>
      </c>
    </row>
    <row r="278" customFormat="false" ht="15" hidden="false" customHeight="false" outlineLevel="0" collapsed="false">
      <c r="M278" s="24" t="str">
        <f aca="false">IF(OR(I278="",J278=""),"",IF(E278="Buy",(J278-I278)/I278,(I278-J278)/I278))</f>
        <v/>
      </c>
      <c r="N278" s="25" t="str">
        <f aca="false">IF(OR(I278="",J278="",I278=G278),"",IF(E278="Buy",(J278-I278)/(I278-G278),(I278-J278)/(G278-I278)))</f>
        <v/>
      </c>
      <c r="O278" s="2" t="str">
        <f aca="false">IF(OR(B278="",K278=""),"",IFERROR(K278-B278,""))</f>
        <v/>
      </c>
      <c r="P278" s="2" t="str">
        <f aca="false">IF(M278="","",IF(M278&gt;0,1,0))</f>
        <v/>
      </c>
    </row>
    <row r="279" customFormat="false" ht="15" hidden="false" customHeight="false" outlineLevel="0" collapsed="false">
      <c r="M279" s="24" t="str">
        <f aca="false">IF(OR(I279="",J279=""),"",IF(E279="Buy",(J279-I279)/I279,(I279-J279)/I279))</f>
        <v/>
      </c>
      <c r="N279" s="25" t="str">
        <f aca="false">IF(OR(I279="",J279="",I279=G279),"",IF(E279="Buy",(J279-I279)/(I279-G279),(I279-J279)/(G279-I279)))</f>
        <v/>
      </c>
      <c r="O279" s="2" t="str">
        <f aca="false">IF(OR(B279="",K279=""),"",IFERROR(K279-B279,""))</f>
        <v/>
      </c>
      <c r="P279" s="2" t="str">
        <f aca="false">IF(M279="","",IF(M279&gt;0,1,0))</f>
        <v/>
      </c>
    </row>
    <row r="280" customFormat="false" ht="15" hidden="false" customHeight="false" outlineLevel="0" collapsed="false">
      <c r="M280" s="24" t="str">
        <f aca="false">IF(OR(I280="",J280=""),"",IF(E280="Buy",(J280-I280)/I280,(I280-J280)/I280))</f>
        <v/>
      </c>
      <c r="N280" s="25" t="str">
        <f aca="false">IF(OR(I280="",J280="",I280=G280),"",IF(E280="Buy",(J280-I280)/(I280-G280),(I280-J280)/(G280-I280)))</f>
        <v/>
      </c>
      <c r="O280" s="2" t="str">
        <f aca="false">IF(OR(B280="",K280=""),"",IFERROR(K280-B280,""))</f>
        <v/>
      </c>
      <c r="P280" s="2" t="str">
        <f aca="false">IF(M280="","",IF(M280&gt;0,1,0))</f>
        <v/>
      </c>
    </row>
    <row r="281" customFormat="false" ht="15" hidden="false" customHeight="false" outlineLevel="0" collapsed="false">
      <c r="M281" s="24" t="str">
        <f aca="false">IF(OR(I281="",J281=""),"",IF(E281="Buy",(J281-I281)/I281,(I281-J281)/I281))</f>
        <v/>
      </c>
      <c r="N281" s="25" t="str">
        <f aca="false">IF(OR(I281="",J281="",I281=G281),"",IF(E281="Buy",(J281-I281)/(I281-G281),(I281-J281)/(G281-I281)))</f>
        <v/>
      </c>
      <c r="O281" s="2" t="str">
        <f aca="false">IF(OR(B281="",K281=""),"",IFERROR(K281-B281,""))</f>
        <v/>
      </c>
      <c r="P281" s="2" t="str">
        <f aca="false">IF(M281="","",IF(M281&gt;0,1,0))</f>
        <v/>
      </c>
    </row>
    <row r="282" customFormat="false" ht="15" hidden="false" customHeight="false" outlineLevel="0" collapsed="false">
      <c r="M282" s="24" t="str">
        <f aca="false">IF(OR(I282="",J282=""),"",IF(E282="Buy",(J282-I282)/I282,(I282-J282)/I282))</f>
        <v/>
      </c>
      <c r="N282" s="25" t="str">
        <f aca="false">IF(OR(I282="",J282="",I282=G282),"",IF(E282="Buy",(J282-I282)/(I282-G282),(I282-J282)/(G282-I282)))</f>
        <v/>
      </c>
      <c r="O282" s="2" t="str">
        <f aca="false">IF(OR(B282="",K282=""),"",IFERROR(K282-B282,""))</f>
        <v/>
      </c>
      <c r="P282" s="2" t="str">
        <f aca="false">IF(M282="","",IF(M282&gt;0,1,0))</f>
        <v/>
      </c>
    </row>
    <row r="283" customFormat="false" ht="15" hidden="false" customHeight="false" outlineLevel="0" collapsed="false">
      <c r="M283" s="24" t="str">
        <f aca="false">IF(OR(I283="",J283=""),"",IF(E283="Buy",(J283-I283)/I283,(I283-J283)/I283))</f>
        <v/>
      </c>
      <c r="N283" s="25" t="str">
        <f aca="false">IF(OR(I283="",J283="",I283=G283),"",IF(E283="Buy",(J283-I283)/(I283-G283),(I283-J283)/(G283-I283)))</f>
        <v/>
      </c>
      <c r="O283" s="2" t="str">
        <f aca="false">IF(OR(B283="",K283=""),"",IFERROR(K283-B283,""))</f>
        <v/>
      </c>
      <c r="P283" s="2" t="str">
        <f aca="false">IF(M283="","",IF(M283&gt;0,1,0))</f>
        <v/>
      </c>
    </row>
    <row r="284" customFormat="false" ht="15" hidden="false" customHeight="false" outlineLevel="0" collapsed="false">
      <c r="M284" s="24" t="str">
        <f aca="false">IF(OR(I284="",J284=""),"",IF(E284="Buy",(J284-I284)/I284,(I284-J284)/I284))</f>
        <v/>
      </c>
      <c r="N284" s="25" t="str">
        <f aca="false">IF(OR(I284="",J284="",I284=G284),"",IF(E284="Buy",(J284-I284)/(I284-G284),(I284-J284)/(G284-I284)))</f>
        <v/>
      </c>
      <c r="O284" s="2" t="str">
        <f aca="false">IF(OR(B284="",K284=""),"",IFERROR(K284-B284,""))</f>
        <v/>
      </c>
      <c r="P284" s="2" t="str">
        <f aca="false">IF(M284="","",IF(M284&gt;0,1,0))</f>
        <v/>
      </c>
    </row>
    <row r="285" customFormat="false" ht="15" hidden="false" customHeight="false" outlineLevel="0" collapsed="false">
      <c r="M285" s="24" t="str">
        <f aca="false">IF(OR(I285="",J285=""),"",IF(E285="Buy",(J285-I285)/I285,(I285-J285)/I285))</f>
        <v/>
      </c>
      <c r="N285" s="25" t="str">
        <f aca="false">IF(OR(I285="",J285="",I285=G285),"",IF(E285="Buy",(J285-I285)/(I285-G285),(I285-J285)/(G285-I285)))</f>
        <v/>
      </c>
      <c r="O285" s="2" t="str">
        <f aca="false">IF(OR(B285="",K285=""),"",IFERROR(K285-B285,""))</f>
        <v/>
      </c>
      <c r="P285" s="2" t="str">
        <f aca="false">IF(M285="","",IF(M285&gt;0,1,0))</f>
        <v/>
      </c>
    </row>
    <row r="286" customFormat="false" ht="15" hidden="false" customHeight="false" outlineLevel="0" collapsed="false">
      <c r="M286" s="24" t="str">
        <f aca="false">IF(OR(I286="",J286=""),"",IF(E286="Buy",(J286-I286)/I286,(I286-J286)/I286))</f>
        <v/>
      </c>
      <c r="N286" s="25" t="str">
        <f aca="false">IF(OR(I286="",J286="",I286=G286),"",IF(E286="Buy",(J286-I286)/(I286-G286),(I286-J286)/(G286-I286)))</f>
        <v/>
      </c>
      <c r="O286" s="2" t="str">
        <f aca="false">IF(OR(B286="",K286=""),"",IFERROR(K286-B286,""))</f>
        <v/>
      </c>
      <c r="P286" s="2" t="str">
        <f aca="false">IF(M286="","",IF(M286&gt;0,1,0))</f>
        <v/>
      </c>
    </row>
    <row r="287" customFormat="false" ht="15" hidden="false" customHeight="false" outlineLevel="0" collapsed="false">
      <c r="M287" s="24" t="str">
        <f aca="false">IF(OR(I287="",J287=""),"",IF(E287="Buy",(J287-I287)/I287,(I287-J287)/I287))</f>
        <v/>
      </c>
      <c r="N287" s="25" t="str">
        <f aca="false">IF(OR(I287="",J287="",I287=G287),"",IF(E287="Buy",(J287-I287)/(I287-G287),(I287-J287)/(G287-I287)))</f>
        <v/>
      </c>
      <c r="O287" s="2" t="str">
        <f aca="false">IF(OR(B287="",K287=""),"",IFERROR(K287-B287,""))</f>
        <v/>
      </c>
      <c r="P287" s="2" t="str">
        <f aca="false">IF(M287="","",IF(M287&gt;0,1,0))</f>
        <v/>
      </c>
    </row>
    <row r="288" customFormat="false" ht="15" hidden="false" customHeight="false" outlineLevel="0" collapsed="false">
      <c r="M288" s="24" t="str">
        <f aca="false">IF(OR(I288="",J288=""),"",IF(E288="Buy",(J288-I288)/I288,(I288-J288)/I288))</f>
        <v/>
      </c>
      <c r="N288" s="25" t="str">
        <f aca="false">IF(OR(I288="",J288="",I288=G288),"",IF(E288="Buy",(J288-I288)/(I288-G288),(I288-J288)/(G288-I288)))</f>
        <v/>
      </c>
      <c r="O288" s="2" t="str">
        <f aca="false">IF(OR(B288="",K288=""),"",IFERROR(K288-B288,""))</f>
        <v/>
      </c>
      <c r="P288" s="2" t="str">
        <f aca="false">IF(M288="","",IF(M288&gt;0,1,0))</f>
        <v/>
      </c>
    </row>
    <row r="289" customFormat="false" ht="15" hidden="false" customHeight="false" outlineLevel="0" collapsed="false">
      <c r="M289" s="24" t="str">
        <f aca="false">IF(OR(I289="",J289=""),"",IF(E289="Buy",(J289-I289)/I289,(I289-J289)/I289))</f>
        <v/>
      </c>
      <c r="N289" s="25" t="str">
        <f aca="false">IF(OR(I289="",J289="",I289=G289),"",IF(E289="Buy",(J289-I289)/(I289-G289),(I289-J289)/(G289-I289)))</f>
        <v/>
      </c>
      <c r="O289" s="2" t="str">
        <f aca="false">IF(OR(B289="",K289=""),"",IFERROR(K289-B289,""))</f>
        <v/>
      </c>
      <c r="P289" s="2" t="str">
        <f aca="false">IF(M289="","",IF(M289&gt;0,1,0))</f>
        <v/>
      </c>
    </row>
    <row r="290" customFormat="false" ht="15" hidden="false" customHeight="false" outlineLevel="0" collapsed="false">
      <c r="M290" s="24" t="str">
        <f aca="false">IF(OR(I290="",J290=""),"",IF(E290="Buy",(J290-I290)/I290,(I290-J290)/I290))</f>
        <v/>
      </c>
      <c r="N290" s="25" t="str">
        <f aca="false">IF(OR(I290="",J290="",I290=G290),"",IF(E290="Buy",(J290-I290)/(I290-G290),(I290-J290)/(G290-I290)))</f>
        <v/>
      </c>
      <c r="O290" s="2" t="str">
        <f aca="false">IF(OR(B290="",K290=""),"",IFERROR(K290-B290,""))</f>
        <v/>
      </c>
      <c r="P290" s="2" t="str">
        <f aca="false">IF(M290="","",IF(M290&gt;0,1,0))</f>
        <v/>
      </c>
    </row>
    <row r="291" customFormat="false" ht="15" hidden="false" customHeight="false" outlineLevel="0" collapsed="false">
      <c r="M291" s="24" t="str">
        <f aca="false">IF(OR(I291="",J291=""),"",IF(E291="Buy",(J291-I291)/I291,(I291-J291)/I291))</f>
        <v/>
      </c>
      <c r="N291" s="25" t="str">
        <f aca="false">IF(OR(I291="",J291="",I291=G291),"",IF(E291="Buy",(J291-I291)/(I291-G291),(I291-J291)/(G291-I291)))</f>
        <v/>
      </c>
      <c r="O291" s="2" t="str">
        <f aca="false">IF(OR(B291="",K291=""),"",IFERROR(K291-B291,""))</f>
        <v/>
      </c>
      <c r="P291" s="2" t="str">
        <f aca="false">IF(M291="","",IF(M291&gt;0,1,0))</f>
        <v/>
      </c>
    </row>
    <row r="292" customFormat="false" ht="15" hidden="false" customHeight="false" outlineLevel="0" collapsed="false">
      <c r="M292" s="24" t="str">
        <f aca="false">IF(OR(I292="",J292=""),"",IF(E292="Buy",(J292-I292)/I292,(I292-J292)/I292))</f>
        <v/>
      </c>
      <c r="N292" s="25" t="str">
        <f aca="false">IF(OR(I292="",J292="",I292=G292),"",IF(E292="Buy",(J292-I292)/(I292-G292),(I292-J292)/(G292-I292)))</f>
        <v/>
      </c>
      <c r="O292" s="2" t="str">
        <f aca="false">IF(OR(B292="",K292=""),"",IFERROR(K292-B292,""))</f>
        <v/>
      </c>
      <c r="P292" s="2" t="str">
        <f aca="false">IF(M292="","",IF(M292&gt;0,1,0))</f>
        <v/>
      </c>
    </row>
    <row r="293" customFormat="false" ht="15" hidden="false" customHeight="false" outlineLevel="0" collapsed="false">
      <c r="M293" s="24" t="str">
        <f aca="false">IF(OR(I293="",J293=""),"",IF(E293="Buy",(J293-I293)/I293,(I293-J293)/I293))</f>
        <v/>
      </c>
      <c r="N293" s="25" t="str">
        <f aca="false">IF(OR(I293="",J293="",I293=G293),"",IF(E293="Buy",(J293-I293)/(I293-G293),(I293-J293)/(G293-I293)))</f>
        <v/>
      </c>
      <c r="O293" s="2" t="str">
        <f aca="false">IF(OR(B293="",K293=""),"",IFERROR(K293-B293,""))</f>
        <v/>
      </c>
      <c r="P293" s="2" t="str">
        <f aca="false">IF(M293="","",IF(M293&gt;0,1,0))</f>
        <v/>
      </c>
    </row>
    <row r="294" customFormat="false" ht="15" hidden="false" customHeight="false" outlineLevel="0" collapsed="false">
      <c r="M294" s="24" t="str">
        <f aca="false">IF(OR(I294="",J294=""),"",IF(E294="Buy",(J294-I294)/I294,(I294-J294)/I294))</f>
        <v/>
      </c>
      <c r="N294" s="25" t="str">
        <f aca="false">IF(OR(I294="",J294="",I294=G294),"",IF(E294="Buy",(J294-I294)/(I294-G294),(I294-J294)/(G294-I294)))</f>
        <v/>
      </c>
      <c r="O294" s="2" t="str">
        <f aca="false">IF(OR(B294="",K294=""),"",IFERROR(K294-B294,""))</f>
        <v/>
      </c>
      <c r="P294" s="2" t="str">
        <f aca="false">IF(M294="","",IF(M294&gt;0,1,0))</f>
        <v/>
      </c>
    </row>
    <row r="295" customFormat="false" ht="15" hidden="false" customHeight="false" outlineLevel="0" collapsed="false">
      <c r="M295" s="24" t="str">
        <f aca="false">IF(OR(I295="",J295=""),"",IF(E295="Buy",(J295-I295)/I295,(I295-J295)/I295))</f>
        <v/>
      </c>
      <c r="N295" s="25" t="str">
        <f aca="false">IF(OR(I295="",J295="",I295=G295),"",IF(E295="Buy",(J295-I295)/(I295-G295),(I295-J295)/(G295-I295)))</f>
        <v/>
      </c>
      <c r="O295" s="2" t="str">
        <f aca="false">IF(OR(B295="",K295=""),"",IFERROR(K295-B295,""))</f>
        <v/>
      </c>
      <c r="P295" s="2" t="str">
        <f aca="false">IF(M295="","",IF(M295&gt;0,1,0))</f>
        <v/>
      </c>
    </row>
    <row r="296" customFormat="false" ht="15" hidden="false" customHeight="false" outlineLevel="0" collapsed="false">
      <c r="M296" s="24" t="str">
        <f aca="false">IF(OR(I296="",J296=""),"",IF(E296="Buy",(J296-I296)/I296,(I296-J296)/I296))</f>
        <v/>
      </c>
      <c r="N296" s="25" t="str">
        <f aca="false">IF(OR(I296="",J296="",I296=G296),"",IF(E296="Buy",(J296-I296)/(I296-G296),(I296-J296)/(G296-I296)))</f>
        <v/>
      </c>
      <c r="O296" s="2" t="str">
        <f aca="false">IF(OR(B296="",K296=""),"",IFERROR(K296-B296,""))</f>
        <v/>
      </c>
      <c r="P296" s="2" t="str">
        <f aca="false">IF(M296="","",IF(M296&gt;0,1,0))</f>
        <v/>
      </c>
    </row>
    <row r="297" customFormat="false" ht="15" hidden="false" customHeight="false" outlineLevel="0" collapsed="false">
      <c r="M297" s="24" t="str">
        <f aca="false">IF(OR(I297="",J297=""),"",IF(E297="Buy",(J297-I297)/I297,(I297-J297)/I297))</f>
        <v/>
      </c>
      <c r="N297" s="25" t="str">
        <f aca="false">IF(OR(I297="",J297="",I297=G297),"",IF(E297="Buy",(J297-I297)/(I297-G297),(I297-J297)/(G297-I297)))</f>
        <v/>
      </c>
      <c r="O297" s="2" t="str">
        <f aca="false">IF(OR(B297="",K297=""),"",IFERROR(K297-B297,""))</f>
        <v/>
      </c>
      <c r="P297" s="2" t="str">
        <f aca="false">IF(M297="","",IF(M297&gt;0,1,0))</f>
        <v/>
      </c>
    </row>
    <row r="298" customFormat="false" ht="15" hidden="false" customHeight="false" outlineLevel="0" collapsed="false">
      <c r="M298" s="24" t="str">
        <f aca="false">IF(OR(I298="",J298=""),"",IF(E298="Buy",(J298-I298)/I298,(I298-J298)/I298))</f>
        <v/>
      </c>
      <c r="N298" s="25" t="str">
        <f aca="false">IF(OR(I298="",J298="",I298=G298),"",IF(E298="Buy",(J298-I298)/(I298-G298),(I298-J298)/(G298-I298)))</f>
        <v/>
      </c>
      <c r="O298" s="2" t="str">
        <f aca="false">IF(OR(B298="",K298=""),"",IFERROR(K298-B298,""))</f>
        <v/>
      </c>
      <c r="P298" s="2" t="str">
        <f aca="false">IF(M298="","",IF(M298&gt;0,1,0))</f>
        <v/>
      </c>
    </row>
    <row r="299" customFormat="false" ht="15" hidden="false" customHeight="false" outlineLevel="0" collapsed="false">
      <c r="M299" s="24" t="str">
        <f aca="false">IF(OR(I299="",J299=""),"",IF(E299="Buy",(J299-I299)/I299,(I299-J299)/I299))</f>
        <v/>
      </c>
      <c r="N299" s="25" t="str">
        <f aca="false">IF(OR(I299="",J299="",I299=G299),"",IF(E299="Buy",(J299-I299)/(I299-G299),(I299-J299)/(G299-I299)))</f>
        <v/>
      </c>
      <c r="O299" s="2" t="str">
        <f aca="false">IF(OR(B299="",K299=""),"",IFERROR(K299-B299,""))</f>
        <v/>
      </c>
      <c r="P299" s="2" t="str">
        <f aca="false">IF(M299="","",IF(M299&gt;0,1,0))</f>
        <v/>
      </c>
    </row>
    <row r="300" customFormat="false" ht="15" hidden="false" customHeight="false" outlineLevel="0" collapsed="false">
      <c r="M300" s="24" t="str">
        <f aca="false">IF(OR(I300="",J300=""),"",IF(E300="Buy",(J300-I300)/I300,(I300-J300)/I300))</f>
        <v/>
      </c>
      <c r="N300" s="25" t="str">
        <f aca="false">IF(OR(I300="",J300="",I300=G300),"",IF(E300="Buy",(J300-I300)/(I300-G300),(I300-J300)/(G300-I300)))</f>
        <v/>
      </c>
      <c r="O300" s="2" t="str">
        <f aca="false">IF(OR(B300="",K300=""),"",IFERROR(K300-B300,""))</f>
        <v/>
      </c>
      <c r="P300" s="2" t="str">
        <f aca="false">IF(M300="","",IF(M300&gt;0,1,0))</f>
        <v/>
      </c>
    </row>
    <row r="301" customFormat="false" ht="15" hidden="false" customHeight="false" outlineLevel="0" collapsed="false">
      <c r="M301" s="24" t="str">
        <f aca="false">IF(OR(I301="",J301=""),"",IF(E301="Buy",(J301-I301)/I301,(I301-J301)/I301))</f>
        <v/>
      </c>
      <c r="N301" s="25" t="str">
        <f aca="false">IF(OR(I301="",J301="",I301=G301),"",IF(E301="Buy",(J301-I301)/(I301-G301),(I301-J301)/(G301-I301)))</f>
        <v/>
      </c>
      <c r="O301" s="2" t="str">
        <f aca="false">IF(OR(B301="",K301=""),"",IFERROR(K301-B301,""))</f>
        <v/>
      </c>
      <c r="P301" s="2" t="str">
        <f aca="false">IF(M301="","",IF(M301&gt;0,1,0))</f>
        <v/>
      </c>
    </row>
    <row r="302" customFormat="false" ht="15" hidden="false" customHeight="false" outlineLevel="0" collapsed="false">
      <c r="M302" s="24" t="str">
        <f aca="false">IF(OR(I302="",J302=""),"",IF(E302="Buy",(J302-I302)/I302,(I302-J302)/I302))</f>
        <v/>
      </c>
      <c r="N302" s="25" t="str">
        <f aca="false">IF(OR(I302="",J302="",I302=G302),"",IF(E302="Buy",(J302-I302)/(I302-G302),(I302-J302)/(G302-I302)))</f>
        <v/>
      </c>
      <c r="O302" s="2" t="str">
        <f aca="false">IF(OR(B302="",K302=""),"",IFERROR(K302-B302,""))</f>
        <v/>
      </c>
      <c r="P302" s="2" t="str">
        <f aca="false">IF(M302="","",IF(M302&gt;0,1,0))</f>
        <v/>
      </c>
    </row>
    <row r="303" customFormat="false" ht="15" hidden="false" customHeight="false" outlineLevel="0" collapsed="false">
      <c r="M303" s="24" t="str">
        <f aca="false">IF(OR(I303="",J303=""),"",IF(E303="Buy",(J303-I303)/I303,(I303-J303)/I303))</f>
        <v/>
      </c>
      <c r="N303" s="25" t="str">
        <f aca="false">IF(OR(I303="",J303="",I303=G303),"",IF(E303="Buy",(J303-I303)/(I303-G303),(I303-J303)/(G303-I303)))</f>
        <v/>
      </c>
      <c r="O303" s="2" t="str">
        <f aca="false">IF(OR(B303="",K303=""),"",IFERROR(K303-B303,""))</f>
        <v/>
      </c>
      <c r="P303" s="2" t="str">
        <f aca="false">IF(M303="","",IF(M303&gt;0,1,0))</f>
        <v/>
      </c>
    </row>
    <row r="304" customFormat="false" ht="15" hidden="false" customHeight="false" outlineLevel="0" collapsed="false">
      <c r="M304" s="24" t="str">
        <f aca="false">IF(OR(I304="",J304=""),"",IF(E304="Buy",(J304-I304)/I304,(I304-J304)/I304))</f>
        <v/>
      </c>
      <c r="N304" s="25" t="str">
        <f aca="false">IF(OR(I304="",J304="",I304=G304),"",IF(E304="Buy",(J304-I304)/(I304-G304),(I304-J304)/(G304-I304)))</f>
        <v/>
      </c>
      <c r="O304" s="2" t="str">
        <f aca="false">IF(OR(B304="",K304=""),"",IFERROR(K304-B304,""))</f>
        <v/>
      </c>
      <c r="P304" s="2" t="str">
        <f aca="false">IF(M304="","",IF(M304&gt;0,1,0))</f>
        <v/>
      </c>
    </row>
    <row r="305" customFormat="false" ht="15" hidden="false" customHeight="false" outlineLevel="0" collapsed="false">
      <c r="M305" s="24" t="str">
        <f aca="false">IF(OR(I305="",J305=""),"",IF(E305="Buy",(J305-I305)/I305,(I305-J305)/I305))</f>
        <v/>
      </c>
      <c r="N305" s="25" t="str">
        <f aca="false">IF(OR(I305="",J305="",I305=G305),"",IF(E305="Buy",(J305-I305)/(I305-G305),(I305-J305)/(G305-I305)))</f>
        <v/>
      </c>
      <c r="O305" s="2" t="str">
        <f aca="false">IF(OR(B305="",K305=""),"",IFERROR(K305-B305,""))</f>
        <v/>
      </c>
      <c r="P305" s="2" t="str">
        <f aca="false">IF(M305="","",IF(M305&gt;0,1,0))</f>
        <v/>
      </c>
    </row>
    <row r="306" customFormat="false" ht="15" hidden="false" customHeight="false" outlineLevel="0" collapsed="false">
      <c r="M306" s="24" t="str">
        <f aca="false">IF(OR(I306="",J306=""),"",IF(E306="Buy",(J306-I306)/I306,(I306-J306)/I306))</f>
        <v/>
      </c>
      <c r="N306" s="25" t="str">
        <f aca="false">IF(OR(I306="",J306="",I306=G306),"",IF(E306="Buy",(J306-I306)/(I306-G306),(I306-J306)/(G306-I306)))</f>
        <v/>
      </c>
      <c r="O306" s="2" t="str">
        <f aca="false">IF(OR(B306="",K306=""),"",IFERROR(K306-B306,""))</f>
        <v/>
      </c>
      <c r="P306" s="2" t="str">
        <f aca="false">IF(M306="","",IF(M306&gt;0,1,0))</f>
        <v/>
      </c>
    </row>
    <row r="307" customFormat="false" ht="15" hidden="false" customHeight="false" outlineLevel="0" collapsed="false">
      <c r="M307" s="24" t="str">
        <f aca="false">IF(OR(I307="",J307=""),"",IF(E307="Buy",(J307-I307)/I307,(I307-J307)/I307))</f>
        <v/>
      </c>
      <c r="N307" s="25" t="str">
        <f aca="false">IF(OR(I307="",J307="",I307=G307),"",IF(E307="Buy",(J307-I307)/(I307-G307),(I307-J307)/(G307-I307)))</f>
        <v/>
      </c>
      <c r="O307" s="2" t="str">
        <f aca="false">IF(OR(B307="",K307=""),"",IFERROR(K307-B307,""))</f>
        <v/>
      </c>
      <c r="P307" s="2" t="str">
        <f aca="false">IF(M307="","",IF(M307&gt;0,1,0))</f>
        <v/>
      </c>
    </row>
    <row r="308" customFormat="false" ht="15" hidden="false" customHeight="false" outlineLevel="0" collapsed="false">
      <c r="M308" s="24" t="str">
        <f aca="false">IF(OR(I308="",J308=""),"",IF(E308="Buy",(J308-I308)/I308,(I308-J308)/I308))</f>
        <v/>
      </c>
      <c r="N308" s="25" t="str">
        <f aca="false">IF(OR(I308="",J308="",I308=G308),"",IF(E308="Buy",(J308-I308)/(I308-G308),(I308-J308)/(G308-I308)))</f>
        <v/>
      </c>
      <c r="O308" s="2" t="str">
        <f aca="false">IF(OR(B308="",K308=""),"",IFERROR(K308-B308,""))</f>
        <v/>
      </c>
      <c r="P308" s="2" t="str">
        <f aca="false">IF(M308="","",IF(M308&gt;0,1,0))</f>
        <v/>
      </c>
    </row>
    <row r="309" customFormat="false" ht="15" hidden="false" customHeight="false" outlineLevel="0" collapsed="false">
      <c r="M309" s="24" t="str">
        <f aca="false">IF(OR(I309="",J309=""),"",IF(E309="Buy",(J309-I309)/I309,(I309-J309)/I309))</f>
        <v/>
      </c>
      <c r="N309" s="25" t="str">
        <f aca="false">IF(OR(I309="",J309="",I309=G309),"",IF(E309="Buy",(J309-I309)/(I309-G309),(I309-J309)/(G309-I309)))</f>
        <v/>
      </c>
      <c r="O309" s="2" t="str">
        <f aca="false">IF(OR(B309="",K309=""),"",IFERROR(K309-B309,""))</f>
        <v/>
      </c>
      <c r="P309" s="2" t="str">
        <f aca="false">IF(M309="","",IF(M309&gt;0,1,0))</f>
        <v/>
      </c>
    </row>
    <row r="310" customFormat="false" ht="15" hidden="false" customHeight="false" outlineLevel="0" collapsed="false">
      <c r="M310" s="24" t="str">
        <f aca="false">IF(OR(I310="",J310=""),"",IF(E310="Buy",(J310-I310)/I310,(I310-J310)/I310))</f>
        <v/>
      </c>
      <c r="N310" s="25" t="str">
        <f aca="false">IF(OR(I310="",J310="",I310=G310),"",IF(E310="Buy",(J310-I310)/(I310-G310),(I310-J310)/(G310-I310)))</f>
        <v/>
      </c>
      <c r="O310" s="2" t="str">
        <f aca="false">IF(OR(B310="",K310=""),"",IFERROR(K310-B310,""))</f>
        <v/>
      </c>
      <c r="P310" s="2" t="str">
        <f aca="false">IF(M310="","",IF(M310&gt;0,1,0))</f>
        <v/>
      </c>
    </row>
    <row r="311" customFormat="false" ht="15" hidden="false" customHeight="false" outlineLevel="0" collapsed="false">
      <c r="M311" s="24" t="str">
        <f aca="false">IF(OR(I311="",J311=""),"",IF(E311="Buy",(J311-I311)/I311,(I311-J311)/I311))</f>
        <v/>
      </c>
      <c r="N311" s="25" t="str">
        <f aca="false">IF(OR(I311="",J311="",I311=G311),"",IF(E311="Buy",(J311-I311)/(I311-G311),(I311-J311)/(G311-I311)))</f>
        <v/>
      </c>
      <c r="O311" s="2" t="str">
        <f aca="false">IF(OR(B311="",K311=""),"",IFERROR(K311-B311,""))</f>
        <v/>
      </c>
      <c r="P311" s="2" t="str">
        <f aca="false">IF(M311="","",IF(M311&gt;0,1,0))</f>
        <v/>
      </c>
    </row>
    <row r="312" customFormat="false" ht="15" hidden="false" customHeight="false" outlineLevel="0" collapsed="false">
      <c r="M312" s="24" t="str">
        <f aca="false">IF(OR(I312="",J312=""),"",IF(E312="Buy",(J312-I312)/I312,(I312-J312)/I312))</f>
        <v/>
      </c>
      <c r="N312" s="25" t="str">
        <f aca="false">IF(OR(I312="",J312="",I312=G312),"",IF(E312="Buy",(J312-I312)/(I312-G312),(I312-J312)/(G312-I312)))</f>
        <v/>
      </c>
      <c r="O312" s="2" t="str">
        <f aca="false">IF(OR(B312="",K312=""),"",IFERROR(K312-B312,""))</f>
        <v/>
      </c>
      <c r="P312" s="2" t="str">
        <f aca="false">IF(M312="","",IF(M312&gt;0,1,0))</f>
        <v/>
      </c>
    </row>
    <row r="313" customFormat="false" ht="15" hidden="false" customHeight="false" outlineLevel="0" collapsed="false">
      <c r="M313" s="24" t="str">
        <f aca="false">IF(OR(I313="",J313=""),"",IF(E313="Buy",(J313-I313)/I313,(I313-J313)/I313))</f>
        <v/>
      </c>
      <c r="N313" s="25" t="str">
        <f aca="false">IF(OR(I313="",J313="",I313=G313),"",IF(E313="Buy",(J313-I313)/(I313-G313),(I313-J313)/(G313-I313)))</f>
        <v/>
      </c>
      <c r="O313" s="2" t="str">
        <f aca="false">IF(OR(B313="",K313=""),"",IFERROR(K313-B313,""))</f>
        <v/>
      </c>
      <c r="P313" s="2" t="str">
        <f aca="false">IF(M313="","",IF(M313&gt;0,1,0))</f>
        <v/>
      </c>
    </row>
    <row r="314" customFormat="false" ht="15" hidden="false" customHeight="false" outlineLevel="0" collapsed="false">
      <c r="M314" s="24" t="str">
        <f aca="false">IF(OR(I314="",J314=""),"",IF(E314="Buy",(J314-I314)/I314,(I314-J314)/I314))</f>
        <v/>
      </c>
      <c r="N314" s="25" t="str">
        <f aca="false">IF(OR(I314="",J314="",I314=G314),"",IF(E314="Buy",(J314-I314)/(I314-G314),(I314-J314)/(G314-I314)))</f>
        <v/>
      </c>
      <c r="O314" s="2" t="str">
        <f aca="false">IF(OR(B314="",K314=""),"",IFERROR(K314-B314,""))</f>
        <v/>
      </c>
      <c r="P314" s="2" t="str">
        <f aca="false">IF(M314="","",IF(M314&gt;0,1,0))</f>
        <v/>
      </c>
    </row>
    <row r="315" customFormat="false" ht="15" hidden="false" customHeight="false" outlineLevel="0" collapsed="false">
      <c r="M315" s="24" t="str">
        <f aca="false">IF(OR(I315="",J315=""),"",IF(E315="Buy",(J315-I315)/I315,(I315-J315)/I315))</f>
        <v/>
      </c>
      <c r="N315" s="25" t="str">
        <f aca="false">IF(OR(I315="",J315="",I315=G315),"",IF(E315="Buy",(J315-I315)/(I315-G315),(I315-J315)/(G315-I315)))</f>
        <v/>
      </c>
      <c r="O315" s="2" t="str">
        <f aca="false">IF(OR(B315="",K315=""),"",IFERROR(K315-B315,""))</f>
        <v/>
      </c>
      <c r="P315" s="2" t="str">
        <f aca="false">IF(M315="","",IF(M315&gt;0,1,0))</f>
        <v/>
      </c>
    </row>
    <row r="316" customFormat="false" ht="15" hidden="false" customHeight="false" outlineLevel="0" collapsed="false">
      <c r="M316" s="24" t="str">
        <f aca="false">IF(OR(I316="",J316=""),"",IF(E316="Buy",(J316-I316)/I316,(I316-J316)/I316))</f>
        <v/>
      </c>
      <c r="N316" s="25" t="str">
        <f aca="false">IF(OR(I316="",J316="",I316=G316),"",IF(E316="Buy",(J316-I316)/(I316-G316),(I316-J316)/(G316-I316)))</f>
        <v/>
      </c>
      <c r="O316" s="2" t="str">
        <f aca="false">IF(OR(B316="",K316=""),"",IFERROR(K316-B316,""))</f>
        <v/>
      </c>
      <c r="P316" s="2" t="str">
        <f aca="false">IF(M316="","",IF(M316&gt;0,1,0))</f>
        <v/>
      </c>
    </row>
    <row r="317" customFormat="false" ht="15" hidden="false" customHeight="false" outlineLevel="0" collapsed="false">
      <c r="M317" s="24" t="str">
        <f aca="false">IF(OR(I317="",J317=""),"",IF(E317="Buy",(J317-I317)/I317,(I317-J317)/I317))</f>
        <v/>
      </c>
      <c r="N317" s="25" t="str">
        <f aca="false">IF(OR(I317="",J317="",I317=G317),"",IF(E317="Buy",(J317-I317)/(I317-G317),(I317-J317)/(G317-I317)))</f>
        <v/>
      </c>
      <c r="O317" s="2" t="str">
        <f aca="false">IF(OR(B317="",K317=""),"",IFERROR(K317-B317,""))</f>
        <v/>
      </c>
      <c r="P317" s="2" t="str">
        <f aca="false">IF(M317="","",IF(M317&gt;0,1,0))</f>
        <v/>
      </c>
    </row>
    <row r="318" customFormat="false" ht="15" hidden="false" customHeight="false" outlineLevel="0" collapsed="false">
      <c r="M318" s="24" t="str">
        <f aca="false">IF(OR(I318="",J318=""),"",IF(E318="Buy",(J318-I318)/I318,(I318-J318)/I318))</f>
        <v/>
      </c>
      <c r="N318" s="25" t="str">
        <f aca="false">IF(OR(I318="",J318="",I318=G318),"",IF(E318="Buy",(J318-I318)/(I318-G318),(I318-J318)/(G318-I318)))</f>
        <v/>
      </c>
      <c r="O318" s="2" t="str">
        <f aca="false">IF(OR(B318="",K318=""),"",IFERROR(K318-B318,""))</f>
        <v/>
      </c>
      <c r="P318" s="2" t="str">
        <f aca="false">IF(M318="","",IF(M318&gt;0,1,0))</f>
        <v/>
      </c>
    </row>
    <row r="319" customFormat="false" ht="15" hidden="false" customHeight="false" outlineLevel="0" collapsed="false">
      <c r="M319" s="24" t="str">
        <f aca="false">IF(OR(I319="",J319=""),"",IF(E319="Buy",(J319-I319)/I319,(I319-J319)/I319))</f>
        <v/>
      </c>
      <c r="N319" s="25" t="str">
        <f aca="false">IF(OR(I319="",J319="",I319=G319),"",IF(E319="Buy",(J319-I319)/(I319-G319),(I319-J319)/(G319-I319)))</f>
        <v/>
      </c>
      <c r="O319" s="2" t="str">
        <f aca="false">IF(OR(B319="",K319=""),"",IFERROR(K319-B319,""))</f>
        <v/>
      </c>
      <c r="P319" s="2" t="str">
        <f aca="false">IF(M319="","",IF(M319&gt;0,1,0))</f>
        <v/>
      </c>
    </row>
    <row r="320" customFormat="false" ht="15" hidden="false" customHeight="false" outlineLevel="0" collapsed="false">
      <c r="M320" s="24" t="str">
        <f aca="false">IF(OR(I320="",J320=""),"",IF(E320="Buy",(J320-I320)/I320,(I320-J320)/I320))</f>
        <v/>
      </c>
      <c r="N320" s="25" t="str">
        <f aca="false">IF(OR(I320="",J320="",I320=G320),"",IF(E320="Buy",(J320-I320)/(I320-G320),(I320-J320)/(G320-I320)))</f>
        <v/>
      </c>
      <c r="O320" s="2" t="str">
        <f aca="false">IF(OR(B320="",K320=""),"",IFERROR(K320-B320,""))</f>
        <v/>
      </c>
      <c r="P320" s="2" t="str">
        <f aca="false">IF(M320="","",IF(M320&gt;0,1,0))</f>
        <v/>
      </c>
    </row>
    <row r="321" customFormat="false" ht="15" hidden="false" customHeight="false" outlineLevel="0" collapsed="false">
      <c r="M321" s="24" t="str">
        <f aca="false">IF(OR(I321="",J321=""),"",IF(E321="Buy",(J321-I321)/I321,(I321-J321)/I321))</f>
        <v/>
      </c>
      <c r="N321" s="25" t="str">
        <f aca="false">IF(OR(I321="",J321="",I321=G321),"",IF(E321="Buy",(J321-I321)/(I321-G321),(I321-J321)/(G321-I321)))</f>
        <v/>
      </c>
      <c r="O321" s="2" t="str">
        <f aca="false">IF(OR(B321="",K321=""),"",IFERROR(K321-B321,""))</f>
        <v/>
      </c>
      <c r="P321" s="2" t="str">
        <f aca="false">IF(M321="","",IF(M321&gt;0,1,0))</f>
        <v/>
      </c>
    </row>
    <row r="322" customFormat="false" ht="15" hidden="false" customHeight="false" outlineLevel="0" collapsed="false">
      <c r="M322" s="24" t="str">
        <f aca="false">IF(OR(I322="",J322=""),"",IF(E322="Buy",(J322-I322)/I322,(I322-J322)/I322))</f>
        <v/>
      </c>
      <c r="N322" s="25" t="str">
        <f aca="false">IF(OR(I322="",J322="",I322=G322),"",IF(E322="Buy",(J322-I322)/(I322-G322),(I322-J322)/(G322-I322)))</f>
        <v/>
      </c>
      <c r="O322" s="2" t="str">
        <f aca="false">IF(OR(B322="",K322=""),"",IFERROR(K322-B322,""))</f>
        <v/>
      </c>
      <c r="P322" s="2" t="str">
        <f aca="false">IF(M322="","",IF(M322&gt;0,1,0))</f>
        <v/>
      </c>
    </row>
    <row r="323" customFormat="false" ht="15" hidden="false" customHeight="false" outlineLevel="0" collapsed="false">
      <c r="M323" s="24" t="str">
        <f aca="false">IF(OR(I323="",J323=""),"",IF(E323="Buy",(J323-I323)/I323,(I323-J323)/I323))</f>
        <v/>
      </c>
      <c r="N323" s="25" t="str">
        <f aca="false">IF(OR(I323="",J323="",I323=G323),"",IF(E323="Buy",(J323-I323)/(I323-G323),(I323-J323)/(G323-I323)))</f>
        <v/>
      </c>
      <c r="O323" s="2" t="str">
        <f aca="false">IF(OR(B323="",K323=""),"",IFERROR(K323-B323,""))</f>
        <v/>
      </c>
      <c r="P323" s="2" t="str">
        <f aca="false">IF(M323="","",IF(M323&gt;0,1,0))</f>
        <v/>
      </c>
    </row>
    <row r="324" customFormat="false" ht="15" hidden="false" customHeight="false" outlineLevel="0" collapsed="false">
      <c r="M324" s="24" t="str">
        <f aca="false">IF(OR(I324="",J324=""),"",IF(E324="Buy",(J324-I324)/I324,(I324-J324)/I324))</f>
        <v/>
      </c>
      <c r="N324" s="25" t="str">
        <f aca="false">IF(OR(I324="",J324="",I324=G324),"",IF(E324="Buy",(J324-I324)/(I324-G324),(I324-J324)/(G324-I324)))</f>
        <v/>
      </c>
      <c r="O324" s="2" t="str">
        <f aca="false">IF(OR(B324="",K324=""),"",IFERROR(K324-B324,""))</f>
        <v/>
      </c>
      <c r="P324" s="2" t="str">
        <f aca="false">IF(M324="","",IF(M324&gt;0,1,0))</f>
        <v/>
      </c>
    </row>
    <row r="325" customFormat="false" ht="15" hidden="false" customHeight="false" outlineLevel="0" collapsed="false">
      <c r="M325" s="24" t="str">
        <f aca="false">IF(OR(I325="",J325=""),"",IF(E325="Buy",(J325-I325)/I325,(I325-J325)/I325))</f>
        <v/>
      </c>
      <c r="N325" s="25" t="str">
        <f aca="false">IF(OR(I325="",J325="",I325=G325),"",IF(E325="Buy",(J325-I325)/(I325-G325),(I325-J325)/(G325-I325)))</f>
        <v/>
      </c>
      <c r="O325" s="2" t="str">
        <f aca="false">IF(OR(B325="",K325=""),"",IFERROR(K325-B325,""))</f>
        <v/>
      </c>
      <c r="P325" s="2" t="str">
        <f aca="false">IF(M325="","",IF(M325&gt;0,1,0))</f>
        <v/>
      </c>
    </row>
    <row r="326" customFormat="false" ht="15" hidden="false" customHeight="false" outlineLevel="0" collapsed="false">
      <c r="M326" s="24" t="str">
        <f aca="false">IF(OR(I326="",J326=""),"",IF(E326="Buy",(J326-I326)/I326,(I326-J326)/I326))</f>
        <v/>
      </c>
      <c r="N326" s="25" t="str">
        <f aca="false">IF(OR(I326="",J326="",I326=G326),"",IF(E326="Buy",(J326-I326)/(I326-G326),(I326-J326)/(G326-I326)))</f>
        <v/>
      </c>
      <c r="O326" s="2" t="str">
        <f aca="false">IF(OR(B326="",K326=""),"",IFERROR(K326-B326,""))</f>
        <v/>
      </c>
      <c r="P326" s="2" t="str">
        <f aca="false">IF(M326="","",IF(M326&gt;0,1,0))</f>
        <v/>
      </c>
    </row>
    <row r="327" customFormat="false" ht="15" hidden="false" customHeight="false" outlineLevel="0" collapsed="false">
      <c r="M327" s="24" t="str">
        <f aca="false">IF(OR(I327="",J327=""),"",IF(E327="Buy",(J327-I327)/I327,(I327-J327)/I327))</f>
        <v/>
      </c>
      <c r="N327" s="25" t="str">
        <f aca="false">IF(OR(I327="",J327="",I327=G327),"",IF(E327="Buy",(J327-I327)/(I327-G327),(I327-J327)/(G327-I327)))</f>
        <v/>
      </c>
      <c r="O327" s="2" t="str">
        <f aca="false">IF(OR(B327="",K327=""),"",IFERROR(K327-B327,""))</f>
        <v/>
      </c>
      <c r="P327" s="2" t="str">
        <f aca="false">IF(M327="","",IF(M327&gt;0,1,0))</f>
        <v/>
      </c>
    </row>
    <row r="328" customFormat="false" ht="15" hidden="false" customHeight="false" outlineLevel="0" collapsed="false">
      <c r="M328" s="24" t="str">
        <f aca="false">IF(OR(I328="",J328=""),"",IF(E328="Buy",(J328-I328)/I328,(I328-J328)/I328))</f>
        <v/>
      </c>
      <c r="N328" s="25" t="str">
        <f aca="false">IF(OR(I328="",J328="",I328=G328),"",IF(E328="Buy",(J328-I328)/(I328-G328),(I328-J328)/(G328-I328)))</f>
        <v/>
      </c>
      <c r="O328" s="2" t="str">
        <f aca="false">IF(OR(B328="",K328=""),"",IFERROR(K328-B328,""))</f>
        <v/>
      </c>
      <c r="P328" s="2" t="str">
        <f aca="false">IF(M328="","",IF(M328&gt;0,1,0))</f>
        <v/>
      </c>
    </row>
    <row r="329" customFormat="false" ht="15" hidden="false" customHeight="false" outlineLevel="0" collapsed="false">
      <c r="M329" s="24" t="str">
        <f aca="false">IF(OR(I329="",J329=""),"",IF(E329="Buy",(J329-I329)/I329,(I329-J329)/I329))</f>
        <v/>
      </c>
      <c r="N329" s="25" t="str">
        <f aca="false">IF(OR(I329="",J329="",I329=G329),"",IF(E329="Buy",(J329-I329)/(I329-G329),(I329-J329)/(G329-I329)))</f>
        <v/>
      </c>
      <c r="O329" s="2" t="str">
        <f aca="false">IF(OR(B329="",K329=""),"",IFERROR(K329-B329,""))</f>
        <v/>
      </c>
      <c r="P329" s="2" t="str">
        <f aca="false">IF(M329="","",IF(M329&gt;0,1,0))</f>
        <v/>
      </c>
    </row>
    <row r="330" customFormat="false" ht="15" hidden="false" customHeight="false" outlineLevel="0" collapsed="false">
      <c r="M330" s="24" t="str">
        <f aca="false">IF(OR(I330="",J330=""),"",IF(E330="Buy",(J330-I330)/I330,(I330-J330)/I330))</f>
        <v/>
      </c>
      <c r="N330" s="25" t="str">
        <f aca="false">IF(OR(I330="",J330="",I330=G330),"",IF(E330="Buy",(J330-I330)/(I330-G330),(I330-J330)/(G330-I330)))</f>
        <v/>
      </c>
      <c r="O330" s="2" t="str">
        <f aca="false">IF(OR(B330="",K330=""),"",IFERROR(K330-B330,""))</f>
        <v/>
      </c>
      <c r="P330" s="2" t="str">
        <f aca="false">IF(M330="","",IF(M330&gt;0,1,0))</f>
        <v/>
      </c>
    </row>
    <row r="331" customFormat="false" ht="15" hidden="false" customHeight="false" outlineLevel="0" collapsed="false">
      <c r="M331" s="24" t="str">
        <f aca="false">IF(OR(I331="",J331=""),"",IF(E331="Buy",(J331-I331)/I331,(I331-J331)/I331))</f>
        <v/>
      </c>
      <c r="N331" s="25" t="str">
        <f aca="false">IF(OR(I331="",J331="",I331=G331),"",IF(E331="Buy",(J331-I331)/(I331-G331),(I331-J331)/(G331-I331)))</f>
        <v/>
      </c>
      <c r="O331" s="2" t="str">
        <f aca="false">IF(OR(B331="",K331=""),"",IFERROR(K331-B331,""))</f>
        <v/>
      </c>
      <c r="P331" s="2" t="str">
        <f aca="false">IF(M331="","",IF(M331&gt;0,1,0))</f>
        <v/>
      </c>
    </row>
    <row r="332" customFormat="false" ht="15" hidden="false" customHeight="false" outlineLevel="0" collapsed="false">
      <c r="M332" s="24" t="str">
        <f aca="false">IF(OR(I332="",J332=""),"",IF(E332="Buy",(J332-I332)/I332,(I332-J332)/I332))</f>
        <v/>
      </c>
      <c r="N332" s="25" t="str">
        <f aca="false">IF(OR(I332="",J332="",I332=G332),"",IF(E332="Buy",(J332-I332)/(I332-G332),(I332-J332)/(G332-I332)))</f>
        <v/>
      </c>
      <c r="O332" s="2" t="str">
        <f aca="false">IF(OR(B332="",K332=""),"",IFERROR(K332-B332,""))</f>
        <v/>
      </c>
      <c r="P332" s="2" t="str">
        <f aca="false">IF(M332="","",IF(M332&gt;0,1,0))</f>
        <v/>
      </c>
    </row>
    <row r="333" customFormat="false" ht="15" hidden="false" customHeight="false" outlineLevel="0" collapsed="false">
      <c r="M333" s="24" t="str">
        <f aca="false">IF(OR(I333="",J333=""),"",IF(E333="Buy",(J333-I333)/I333,(I333-J333)/I333))</f>
        <v/>
      </c>
      <c r="N333" s="25" t="str">
        <f aca="false">IF(OR(I333="",J333="",I333=G333),"",IF(E333="Buy",(J333-I333)/(I333-G333),(I333-J333)/(G333-I333)))</f>
        <v/>
      </c>
      <c r="O333" s="2" t="str">
        <f aca="false">IF(OR(B333="",K333=""),"",IFERROR(K333-B333,""))</f>
        <v/>
      </c>
      <c r="P333" s="2" t="str">
        <f aca="false">IF(M333="","",IF(M333&gt;0,1,0))</f>
        <v/>
      </c>
    </row>
    <row r="334" customFormat="false" ht="15" hidden="false" customHeight="false" outlineLevel="0" collapsed="false">
      <c r="M334" s="24" t="str">
        <f aca="false">IF(OR(I334="",J334=""),"",IF(E334="Buy",(J334-I334)/I334,(I334-J334)/I334))</f>
        <v/>
      </c>
      <c r="N334" s="25" t="str">
        <f aca="false">IF(OR(I334="",J334="",I334=G334),"",IF(E334="Buy",(J334-I334)/(I334-G334),(I334-J334)/(G334-I334)))</f>
        <v/>
      </c>
      <c r="O334" s="2" t="str">
        <f aca="false">IF(OR(B334="",K334=""),"",IFERROR(K334-B334,""))</f>
        <v/>
      </c>
      <c r="P334" s="2" t="str">
        <f aca="false">IF(M334="","",IF(M334&gt;0,1,0))</f>
        <v/>
      </c>
    </row>
    <row r="335" customFormat="false" ht="15" hidden="false" customHeight="false" outlineLevel="0" collapsed="false">
      <c r="M335" s="24" t="str">
        <f aca="false">IF(OR(I335="",J335=""),"",IF(E335="Buy",(J335-I335)/I335,(I335-J335)/I335))</f>
        <v/>
      </c>
      <c r="N335" s="25" t="str">
        <f aca="false">IF(OR(I335="",J335="",I335=G335),"",IF(E335="Buy",(J335-I335)/(I335-G335),(I335-J335)/(G335-I335)))</f>
        <v/>
      </c>
      <c r="O335" s="2" t="str">
        <f aca="false">IF(OR(B335="",K335=""),"",IFERROR(K335-B335,""))</f>
        <v/>
      </c>
      <c r="P335" s="2" t="str">
        <f aca="false">IF(M335="","",IF(M335&gt;0,1,0))</f>
        <v/>
      </c>
    </row>
    <row r="336" customFormat="false" ht="15" hidden="false" customHeight="false" outlineLevel="0" collapsed="false">
      <c r="M336" s="24" t="str">
        <f aca="false">IF(OR(I336="",J336=""),"",IF(E336="Buy",(J336-I336)/I336,(I336-J336)/I336))</f>
        <v/>
      </c>
      <c r="N336" s="25" t="str">
        <f aca="false">IF(OR(I336="",J336="",I336=G336),"",IF(E336="Buy",(J336-I336)/(I336-G336),(I336-J336)/(G336-I336)))</f>
        <v/>
      </c>
      <c r="O336" s="2" t="str">
        <f aca="false">IF(OR(B336="",K336=""),"",IFERROR(K336-B336,""))</f>
        <v/>
      </c>
      <c r="P336" s="2" t="str">
        <f aca="false">IF(M336="","",IF(M336&gt;0,1,0))</f>
        <v/>
      </c>
    </row>
    <row r="337" customFormat="false" ht="15" hidden="false" customHeight="false" outlineLevel="0" collapsed="false">
      <c r="M337" s="24" t="str">
        <f aca="false">IF(OR(I337="",J337=""),"",IF(E337="Buy",(J337-I337)/I337,(I337-J337)/I337))</f>
        <v/>
      </c>
      <c r="N337" s="25" t="str">
        <f aca="false">IF(OR(I337="",J337="",I337=G337),"",IF(E337="Buy",(J337-I337)/(I337-G337),(I337-J337)/(G337-I337)))</f>
        <v/>
      </c>
      <c r="O337" s="2" t="str">
        <f aca="false">IF(OR(B337="",K337=""),"",IFERROR(K337-B337,""))</f>
        <v/>
      </c>
      <c r="P337" s="2" t="str">
        <f aca="false">IF(M337="","",IF(M337&gt;0,1,0))</f>
        <v/>
      </c>
    </row>
    <row r="338" customFormat="false" ht="15" hidden="false" customHeight="false" outlineLevel="0" collapsed="false">
      <c r="M338" s="24" t="str">
        <f aca="false">IF(OR(I338="",J338=""),"",IF(E338="Buy",(J338-I338)/I338,(I338-J338)/I338))</f>
        <v/>
      </c>
      <c r="N338" s="25" t="str">
        <f aca="false">IF(OR(I338="",J338="",I338=G338),"",IF(E338="Buy",(J338-I338)/(I338-G338),(I338-J338)/(G338-I338)))</f>
        <v/>
      </c>
      <c r="O338" s="2" t="str">
        <f aca="false">IF(OR(B338="",K338=""),"",IFERROR(K338-B338,""))</f>
        <v/>
      </c>
      <c r="P338" s="2" t="str">
        <f aca="false">IF(M338="","",IF(M338&gt;0,1,0))</f>
        <v/>
      </c>
    </row>
    <row r="339" customFormat="false" ht="15" hidden="false" customHeight="false" outlineLevel="0" collapsed="false">
      <c r="M339" s="24" t="str">
        <f aca="false">IF(OR(I339="",J339=""),"",IF(E339="Buy",(J339-I339)/I339,(I339-J339)/I339))</f>
        <v/>
      </c>
      <c r="N339" s="25" t="str">
        <f aca="false">IF(OR(I339="",J339="",I339=G339),"",IF(E339="Buy",(J339-I339)/(I339-G339),(I339-J339)/(G339-I339)))</f>
        <v/>
      </c>
      <c r="O339" s="2" t="str">
        <f aca="false">IF(OR(B339="",K339=""),"",IFERROR(K339-B339,""))</f>
        <v/>
      </c>
      <c r="P339" s="2" t="str">
        <f aca="false">IF(M339="","",IF(M339&gt;0,1,0))</f>
        <v/>
      </c>
    </row>
    <row r="340" customFormat="false" ht="15" hidden="false" customHeight="false" outlineLevel="0" collapsed="false">
      <c r="M340" s="24" t="str">
        <f aca="false">IF(OR(I340="",J340=""),"",IF(E340="Buy",(J340-I340)/I340,(I340-J340)/I340))</f>
        <v/>
      </c>
      <c r="N340" s="25" t="str">
        <f aca="false">IF(OR(I340="",J340="",I340=G340),"",IF(E340="Buy",(J340-I340)/(I340-G340),(I340-J340)/(G340-I340)))</f>
        <v/>
      </c>
      <c r="O340" s="2" t="str">
        <f aca="false">IF(OR(B340="",K340=""),"",IFERROR(K340-B340,""))</f>
        <v/>
      </c>
      <c r="P340" s="2" t="str">
        <f aca="false">IF(M340="","",IF(M340&gt;0,1,0))</f>
        <v/>
      </c>
    </row>
    <row r="341" customFormat="false" ht="15" hidden="false" customHeight="false" outlineLevel="0" collapsed="false">
      <c r="M341" s="24" t="str">
        <f aca="false">IF(OR(I341="",J341=""),"",IF(E341="Buy",(J341-I341)/I341,(I341-J341)/I341))</f>
        <v/>
      </c>
      <c r="N341" s="25" t="str">
        <f aca="false">IF(OR(I341="",J341="",I341=G341),"",IF(E341="Buy",(J341-I341)/(I341-G341),(I341-J341)/(G341-I341)))</f>
        <v/>
      </c>
      <c r="O341" s="2" t="str">
        <f aca="false">IF(OR(B341="",K341=""),"",IFERROR(K341-B341,""))</f>
        <v/>
      </c>
      <c r="P341" s="2" t="str">
        <f aca="false">IF(M341="","",IF(M341&gt;0,1,0))</f>
        <v/>
      </c>
    </row>
    <row r="342" customFormat="false" ht="15" hidden="false" customHeight="false" outlineLevel="0" collapsed="false">
      <c r="M342" s="24" t="str">
        <f aca="false">IF(OR(I342="",J342=""),"",IF(E342="Buy",(J342-I342)/I342,(I342-J342)/I342))</f>
        <v/>
      </c>
      <c r="N342" s="25" t="str">
        <f aca="false">IF(OR(I342="",J342="",I342=G342),"",IF(E342="Buy",(J342-I342)/(I342-G342),(I342-J342)/(G342-I342)))</f>
        <v/>
      </c>
      <c r="O342" s="2" t="str">
        <f aca="false">IF(OR(B342="",K342=""),"",IFERROR(K342-B342,""))</f>
        <v/>
      </c>
      <c r="P342" s="2" t="str">
        <f aca="false">IF(M342="","",IF(M342&gt;0,1,0))</f>
        <v/>
      </c>
    </row>
    <row r="343" customFormat="false" ht="15" hidden="false" customHeight="false" outlineLevel="0" collapsed="false">
      <c r="M343" s="24" t="str">
        <f aca="false">IF(OR(I343="",J343=""),"",IF(E343="Buy",(J343-I343)/I343,(I343-J343)/I343))</f>
        <v/>
      </c>
      <c r="N343" s="25" t="str">
        <f aca="false">IF(OR(I343="",J343="",I343=G343),"",IF(E343="Buy",(J343-I343)/(I343-G343),(I343-J343)/(G343-I343)))</f>
        <v/>
      </c>
      <c r="O343" s="2" t="str">
        <f aca="false">IF(OR(B343="",K343=""),"",IFERROR(K343-B343,""))</f>
        <v/>
      </c>
      <c r="P343" s="2" t="str">
        <f aca="false">IF(M343="","",IF(M343&gt;0,1,0))</f>
        <v/>
      </c>
    </row>
    <row r="344" customFormat="false" ht="15" hidden="false" customHeight="false" outlineLevel="0" collapsed="false">
      <c r="M344" s="24" t="str">
        <f aca="false">IF(OR(I344="",J344=""),"",IF(E344="Buy",(J344-I344)/I344,(I344-J344)/I344))</f>
        <v/>
      </c>
      <c r="N344" s="25" t="str">
        <f aca="false">IF(OR(I344="",J344="",I344=G344),"",IF(E344="Buy",(J344-I344)/(I344-G344),(I344-J344)/(G344-I344)))</f>
        <v/>
      </c>
      <c r="O344" s="2" t="str">
        <f aca="false">IF(OR(B344="",K344=""),"",IFERROR(K344-B344,""))</f>
        <v/>
      </c>
      <c r="P344" s="2" t="str">
        <f aca="false">IF(M344="","",IF(M344&gt;0,1,0))</f>
        <v/>
      </c>
    </row>
    <row r="345" customFormat="false" ht="15" hidden="false" customHeight="false" outlineLevel="0" collapsed="false">
      <c r="M345" s="24" t="str">
        <f aca="false">IF(OR(I345="",J345=""),"",IF(E345="Buy",(J345-I345)/I345,(I345-J345)/I345))</f>
        <v/>
      </c>
      <c r="N345" s="25" t="str">
        <f aca="false">IF(OR(I345="",J345="",I345=G345),"",IF(E345="Buy",(J345-I345)/(I345-G345),(I345-J345)/(G345-I345)))</f>
        <v/>
      </c>
      <c r="O345" s="2" t="str">
        <f aca="false">IF(OR(B345="",K345=""),"",IFERROR(K345-B345,""))</f>
        <v/>
      </c>
      <c r="P345" s="2" t="str">
        <f aca="false">IF(M345="","",IF(M345&gt;0,1,0))</f>
        <v/>
      </c>
    </row>
    <row r="346" customFormat="false" ht="15" hidden="false" customHeight="false" outlineLevel="0" collapsed="false">
      <c r="M346" s="24" t="str">
        <f aca="false">IF(OR(I346="",J346=""),"",IF(E346="Buy",(J346-I346)/I346,(I346-J346)/I346))</f>
        <v/>
      </c>
      <c r="N346" s="25" t="str">
        <f aca="false">IF(OR(I346="",J346="",I346=G346),"",IF(E346="Buy",(J346-I346)/(I346-G346),(I346-J346)/(G346-I346)))</f>
        <v/>
      </c>
      <c r="O346" s="2" t="str">
        <f aca="false">IF(OR(B346="",K346=""),"",IFERROR(K346-B346,""))</f>
        <v/>
      </c>
      <c r="P346" s="2" t="str">
        <f aca="false">IF(M346="","",IF(M346&gt;0,1,0))</f>
        <v/>
      </c>
    </row>
    <row r="347" customFormat="false" ht="15" hidden="false" customHeight="false" outlineLevel="0" collapsed="false">
      <c r="M347" s="24" t="str">
        <f aca="false">IF(OR(I347="",J347=""),"",IF(E347="Buy",(J347-I347)/I347,(I347-J347)/I347))</f>
        <v/>
      </c>
      <c r="N347" s="25" t="str">
        <f aca="false">IF(OR(I347="",J347="",I347=G347),"",IF(E347="Buy",(J347-I347)/(I347-G347),(I347-J347)/(G347-I347)))</f>
        <v/>
      </c>
      <c r="O347" s="2" t="str">
        <f aca="false">IF(OR(B347="",K347=""),"",IFERROR(K347-B347,""))</f>
        <v/>
      </c>
      <c r="P347" s="2" t="str">
        <f aca="false">IF(M347="","",IF(M347&gt;0,1,0))</f>
        <v/>
      </c>
    </row>
    <row r="348" customFormat="false" ht="15" hidden="false" customHeight="false" outlineLevel="0" collapsed="false">
      <c r="M348" s="24" t="str">
        <f aca="false">IF(OR(I348="",J348=""),"",IF(E348="Buy",(J348-I348)/I348,(I348-J348)/I348))</f>
        <v/>
      </c>
      <c r="N348" s="25" t="str">
        <f aca="false">IF(OR(I348="",J348="",I348=G348),"",IF(E348="Buy",(J348-I348)/(I348-G348),(I348-J348)/(G348-I348)))</f>
        <v/>
      </c>
      <c r="O348" s="2" t="str">
        <f aca="false">IF(OR(B348="",K348=""),"",IFERROR(K348-B348,""))</f>
        <v/>
      </c>
      <c r="P348" s="2" t="str">
        <f aca="false">IF(M348="","",IF(M348&gt;0,1,0))</f>
        <v/>
      </c>
    </row>
    <row r="349" customFormat="false" ht="15" hidden="false" customHeight="false" outlineLevel="0" collapsed="false">
      <c r="M349" s="24" t="str">
        <f aca="false">IF(OR(I349="",J349=""),"",IF(E349="Buy",(J349-I349)/I349,(I349-J349)/I349))</f>
        <v/>
      </c>
      <c r="N349" s="25" t="str">
        <f aca="false">IF(OR(I349="",J349="",I349=G349),"",IF(E349="Buy",(J349-I349)/(I349-G349),(I349-J349)/(G349-I349)))</f>
        <v/>
      </c>
      <c r="O349" s="2" t="str">
        <f aca="false">IF(OR(B349="",K349=""),"",IFERROR(K349-B349,""))</f>
        <v/>
      </c>
      <c r="P349" s="2" t="str">
        <f aca="false">IF(M349="","",IF(M349&gt;0,1,0))</f>
        <v/>
      </c>
    </row>
    <row r="350" customFormat="false" ht="15" hidden="false" customHeight="false" outlineLevel="0" collapsed="false">
      <c r="M350" s="24" t="str">
        <f aca="false">IF(OR(I350="",J350=""),"",IF(E350="Buy",(J350-I350)/I350,(I350-J350)/I350))</f>
        <v/>
      </c>
      <c r="N350" s="25" t="str">
        <f aca="false">IF(OR(I350="",J350="",I350=G350),"",IF(E350="Buy",(J350-I350)/(I350-G350),(I350-J350)/(G350-I350)))</f>
        <v/>
      </c>
      <c r="O350" s="2" t="str">
        <f aca="false">IF(OR(B350="",K350=""),"",IFERROR(K350-B350,""))</f>
        <v/>
      </c>
      <c r="P350" s="2" t="str">
        <f aca="false">IF(M350="","",IF(M350&gt;0,1,0))</f>
        <v/>
      </c>
    </row>
    <row r="351" customFormat="false" ht="15" hidden="false" customHeight="false" outlineLevel="0" collapsed="false">
      <c r="M351" s="24" t="str">
        <f aca="false">IF(OR(I351="",J351=""),"",IF(E351="Buy",(J351-I351)/I351,(I351-J351)/I351))</f>
        <v/>
      </c>
      <c r="N351" s="25" t="str">
        <f aca="false">IF(OR(I351="",J351="",I351=G351),"",IF(E351="Buy",(J351-I351)/(I351-G351),(I351-J351)/(G351-I351)))</f>
        <v/>
      </c>
      <c r="O351" s="2" t="str">
        <f aca="false">IF(OR(B351="",K351=""),"",IFERROR(K351-B351,""))</f>
        <v/>
      </c>
      <c r="P351" s="2" t="str">
        <f aca="false">IF(M351="","",IF(M351&gt;0,1,0))</f>
        <v/>
      </c>
    </row>
    <row r="352" customFormat="false" ht="15" hidden="false" customHeight="false" outlineLevel="0" collapsed="false">
      <c r="M352" s="24" t="str">
        <f aca="false">IF(OR(I352="",J352=""),"",IF(E352="Buy",(J352-I352)/I352,(I352-J352)/I352))</f>
        <v/>
      </c>
      <c r="N352" s="25" t="str">
        <f aca="false">IF(OR(I352="",J352="",I352=G352),"",IF(E352="Buy",(J352-I352)/(I352-G352),(I352-J352)/(G352-I352)))</f>
        <v/>
      </c>
      <c r="O352" s="2" t="str">
        <f aca="false">IF(OR(B352="",K352=""),"",IFERROR(K352-B352,""))</f>
        <v/>
      </c>
      <c r="P352" s="2" t="str">
        <f aca="false">IF(M352="","",IF(M352&gt;0,1,0))</f>
        <v/>
      </c>
    </row>
    <row r="353" customFormat="false" ht="15" hidden="false" customHeight="false" outlineLevel="0" collapsed="false">
      <c r="M353" s="24" t="str">
        <f aca="false">IF(OR(I353="",J353=""),"",IF(E353="Buy",(J353-I353)/I353,(I353-J353)/I353))</f>
        <v/>
      </c>
      <c r="N353" s="25" t="str">
        <f aca="false">IF(OR(I353="",J353="",I353=G353),"",IF(E353="Buy",(J353-I353)/(I353-G353),(I353-J353)/(G353-I353)))</f>
        <v/>
      </c>
      <c r="O353" s="2" t="str">
        <f aca="false">IF(OR(B353="",K353=""),"",IFERROR(K353-B353,""))</f>
        <v/>
      </c>
      <c r="P353" s="2" t="str">
        <f aca="false">IF(M353="","",IF(M353&gt;0,1,0))</f>
        <v/>
      </c>
    </row>
    <row r="354" customFormat="false" ht="15" hidden="false" customHeight="false" outlineLevel="0" collapsed="false">
      <c r="M354" s="24" t="str">
        <f aca="false">IF(OR(I354="",J354=""),"",IF(E354="Buy",(J354-I354)/I354,(I354-J354)/I354))</f>
        <v/>
      </c>
      <c r="N354" s="25" t="str">
        <f aca="false">IF(OR(I354="",J354="",I354=G354),"",IF(E354="Buy",(J354-I354)/(I354-G354),(I354-J354)/(G354-I354)))</f>
        <v/>
      </c>
      <c r="O354" s="2" t="str">
        <f aca="false">IF(OR(B354="",K354=""),"",IFERROR(K354-B354,""))</f>
        <v/>
      </c>
      <c r="P354" s="2" t="str">
        <f aca="false">IF(M354="","",IF(M354&gt;0,1,0))</f>
        <v/>
      </c>
    </row>
    <row r="355" customFormat="false" ht="15" hidden="false" customHeight="false" outlineLevel="0" collapsed="false">
      <c r="M355" s="24" t="str">
        <f aca="false">IF(OR(I355="",J355=""),"",IF(E355="Buy",(J355-I355)/I355,(I355-J355)/I355))</f>
        <v/>
      </c>
      <c r="N355" s="25" t="str">
        <f aca="false">IF(OR(I355="",J355="",I355=G355),"",IF(E355="Buy",(J355-I355)/(I355-G355),(I355-J355)/(G355-I355)))</f>
        <v/>
      </c>
      <c r="O355" s="2" t="str">
        <f aca="false">IF(OR(B355="",K355=""),"",IFERROR(K355-B355,""))</f>
        <v/>
      </c>
      <c r="P355" s="2" t="str">
        <f aca="false">IF(M355="","",IF(M355&gt;0,1,0))</f>
        <v/>
      </c>
    </row>
    <row r="356" customFormat="false" ht="15" hidden="false" customHeight="false" outlineLevel="0" collapsed="false">
      <c r="M356" s="24" t="str">
        <f aca="false">IF(OR(I356="",J356=""),"",IF(E356="Buy",(J356-I356)/I356,(I356-J356)/I356))</f>
        <v/>
      </c>
      <c r="N356" s="25" t="str">
        <f aca="false">IF(OR(I356="",J356="",I356=G356),"",IF(E356="Buy",(J356-I356)/(I356-G356),(I356-J356)/(G356-I356)))</f>
        <v/>
      </c>
      <c r="O356" s="2" t="str">
        <f aca="false">IF(OR(B356="",K356=""),"",IFERROR(K356-B356,""))</f>
        <v/>
      </c>
      <c r="P356" s="2" t="str">
        <f aca="false">IF(M356="","",IF(M356&gt;0,1,0))</f>
        <v/>
      </c>
    </row>
    <row r="357" customFormat="false" ht="15" hidden="false" customHeight="false" outlineLevel="0" collapsed="false">
      <c r="M357" s="24" t="str">
        <f aca="false">IF(OR(I357="",J357=""),"",IF(E357="Buy",(J357-I357)/I357,(I357-J357)/I357))</f>
        <v/>
      </c>
      <c r="N357" s="25" t="str">
        <f aca="false">IF(OR(I357="",J357="",I357=G357),"",IF(E357="Buy",(J357-I357)/(I357-G357),(I357-J357)/(G357-I357)))</f>
        <v/>
      </c>
      <c r="O357" s="2" t="str">
        <f aca="false">IF(OR(B357="",K357=""),"",IFERROR(K357-B357,""))</f>
        <v/>
      </c>
      <c r="P357" s="2" t="str">
        <f aca="false">IF(M357="","",IF(M357&gt;0,1,0))</f>
        <v/>
      </c>
    </row>
    <row r="358" customFormat="false" ht="15" hidden="false" customHeight="false" outlineLevel="0" collapsed="false">
      <c r="M358" s="24" t="str">
        <f aca="false">IF(OR(I358="",J358=""),"",IF(E358="Buy",(J358-I358)/I358,(I358-J358)/I358))</f>
        <v/>
      </c>
      <c r="N358" s="25" t="str">
        <f aca="false">IF(OR(I358="",J358="",I358=G358),"",IF(E358="Buy",(J358-I358)/(I358-G358),(I358-J358)/(G358-I358)))</f>
        <v/>
      </c>
      <c r="O358" s="2" t="str">
        <f aca="false">IF(OR(B358="",K358=""),"",IFERROR(K358-B358,""))</f>
        <v/>
      </c>
      <c r="P358" s="2" t="str">
        <f aca="false">IF(M358="","",IF(M358&gt;0,1,0))</f>
        <v/>
      </c>
    </row>
    <row r="359" customFormat="false" ht="15" hidden="false" customHeight="false" outlineLevel="0" collapsed="false">
      <c r="M359" s="24" t="str">
        <f aca="false">IF(OR(I359="",J359=""),"",IF(E359="Buy",(J359-I359)/I359,(I359-J359)/I359))</f>
        <v/>
      </c>
      <c r="N359" s="25" t="str">
        <f aca="false">IF(OR(I359="",J359="",I359=G359),"",IF(E359="Buy",(J359-I359)/(I359-G359),(I359-J359)/(G359-I359)))</f>
        <v/>
      </c>
      <c r="O359" s="2" t="str">
        <f aca="false">IF(OR(B359="",K359=""),"",IFERROR(K359-B359,""))</f>
        <v/>
      </c>
      <c r="P359" s="2" t="str">
        <f aca="false">IF(M359="","",IF(M359&gt;0,1,0))</f>
        <v/>
      </c>
    </row>
    <row r="360" customFormat="false" ht="15" hidden="false" customHeight="false" outlineLevel="0" collapsed="false">
      <c r="M360" s="24" t="str">
        <f aca="false">IF(OR(I360="",J360=""),"",IF(E360="Buy",(J360-I360)/I360,(I360-J360)/I360))</f>
        <v/>
      </c>
      <c r="N360" s="25" t="str">
        <f aca="false">IF(OR(I360="",J360="",I360=G360),"",IF(E360="Buy",(J360-I360)/(I360-G360),(I360-J360)/(G360-I360)))</f>
        <v/>
      </c>
      <c r="O360" s="2" t="str">
        <f aca="false">IF(OR(B360="",K360=""),"",IFERROR(K360-B360,""))</f>
        <v/>
      </c>
      <c r="P360" s="2" t="str">
        <f aca="false">IF(M360="","",IF(M360&gt;0,1,0))</f>
        <v/>
      </c>
    </row>
    <row r="361" customFormat="false" ht="15" hidden="false" customHeight="false" outlineLevel="0" collapsed="false">
      <c r="M361" s="24" t="str">
        <f aca="false">IF(OR(I361="",J361=""),"",IF(E361="Buy",(J361-I361)/I361,(I361-J361)/I361))</f>
        <v/>
      </c>
      <c r="N361" s="25" t="str">
        <f aca="false">IF(OR(I361="",J361="",I361=G361),"",IF(E361="Buy",(J361-I361)/(I361-G361),(I361-J361)/(G361-I361)))</f>
        <v/>
      </c>
      <c r="O361" s="2" t="str">
        <f aca="false">IF(OR(B361="",K361=""),"",IFERROR(K361-B361,""))</f>
        <v/>
      </c>
      <c r="P361" s="2" t="str">
        <f aca="false">IF(M361="","",IF(M361&gt;0,1,0))</f>
        <v/>
      </c>
    </row>
    <row r="362" customFormat="false" ht="15" hidden="false" customHeight="false" outlineLevel="0" collapsed="false">
      <c r="M362" s="24" t="str">
        <f aca="false">IF(OR(I362="",J362=""),"",IF(E362="Buy",(J362-I362)/I362,(I362-J362)/I362))</f>
        <v/>
      </c>
      <c r="N362" s="25" t="str">
        <f aca="false">IF(OR(I362="",J362="",I362=G362),"",IF(E362="Buy",(J362-I362)/(I362-G362),(I362-J362)/(G362-I362)))</f>
        <v/>
      </c>
      <c r="O362" s="2" t="str">
        <f aca="false">IF(OR(B362="",K362=""),"",IFERROR(K362-B362,""))</f>
        <v/>
      </c>
      <c r="P362" s="2" t="str">
        <f aca="false">IF(M362="","",IF(M362&gt;0,1,0))</f>
        <v/>
      </c>
    </row>
    <row r="363" customFormat="false" ht="15" hidden="false" customHeight="false" outlineLevel="0" collapsed="false">
      <c r="M363" s="24" t="str">
        <f aca="false">IF(OR(I363="",J363=""),"",IF(E363="Buy",(J363-I363)/I363,(I363-J363)/I363))</f>
        <v/>
      </c>
      <c r="N363" s="25" t="str">
        <f aca="false">IF(OR(I363="",J363="",I363=G363),"",IF(E363="Buy",(J363-I363)/(I363-G363),(I363-J363)/(G363-I363)))</f>
        <v/>
      </c>
      <c r="O363" s="2" t="str">
        <f aca="false">IF(OR(B363="",K363=""),"",IFERROR(K363-B363,""))</f>
        <v/>
      </c>
      <c r="P363" s="2" t="str">
        <f aca="false">IF(M363="","",IF(M363&gt;0,1,0))</f>
        <v/>
      </c>
    </row>
    <row r="364" customFormat="false" ht="15" hidden="false" customHeight="false" outlineLevel="0" collapsed="false">
      <c r="M364" s="24" t="str">
        <f aca="false">IF(OR(I364="",J364=""),"",IF(E364="Buy",(J364-I364)/I364,(I364-J364)/I364))</f>
        <v/>
      </c>
      <c r="N364" s="25" t="str">
        <f aca="false">IF(OR(I364="",J364="",I364=G364),"",IF(E364="Buy",(J364-I364)/(I364-G364),(I364-J364)/(G364-I364)))</f>
        <v/>
      </c>
      <c r="O364" s="2" t="str">
        <f aca="false">IF(OR(B364="",K364=""),"",IFERROR(K364-B364,""))</f>
        <v/>
      </c>
      <c r="P364" s="2" t="str">
        <f aca="false">IF(M364="","",IF(M364&gt;0,1,0))</f>
        <v/>
      </c>
    </row>
    <row r="365" customFormat="false" ht="15" hidden="false" customHeight="false" outlineLevel="0" collapsed="false">
      <c r="M365" s="24" t="str">
        <f aca="false">IF(OR(I365="",J365=""),"",IF(E365="Buy",(J365-I365)/I365,(I365-J365)/I365))</f>
        <v/>
      </c>
      <c r="N365" s="25" t="str">
        <f aca="false">IF(OR(I365="",J365="",I365=G365),"",IF(E365="Buy",(J365-I365)/(I365-G365),(I365-J365)/(G365-I365)))</f>
        <v/>
      </c>
      <c r="O365" s="2" t="str">
        <f aca="false">IF(OR(B365="",K365=""),"",IFERROR(K365-B365,""))</f>
        <v/>
      </c>
      <c r="P365" s="2" t="str">
        <f aca="false">IF(M365="","",IF(M365&gt;0,1,0))</f>
        <v/>
      </c>
    </row>
    <row r="366" customFormat="false" ht="15" hidden="false" customHeight="false" outlineLevel="0" collapsed="false">
      <c r="M366" s="24" t="str">
        <f aca="false">IF(OR(I366="",J366=""),"",IF(E366="Buy",(J366-I366)/I366,(I366-J366)/I366))</f>
        <v/>
      </c>
      <c r="N366" s="25" t="str">
        <f aca="false">IF(OR(I366="",J366="",I366=G366),"",IF(E366="Buy",(J366-I366)/(I366-G366),(I366-J366)/(G366-I366)))</f>
        <v/>
      </c>
      <c r="O366" s="2" t="str">
        <f aca="false">IF(OR(B366="",K366=""),"",IFERROR(K366-B366,""))</f>
        <v/>
      </c>
      <c r="P366" s="2" t="str">
        <f aca="false">IF(M366="","",IF(M366&gt;0,1,0))</f>
        <v/>
      </c>
    </row>
    <row r="367" customFormat="false" ht="15" hidden="false" customHeight="false" outlineLevel="0" collapsed="false">
      <c r="M367" s="24" t="str">
        <f aca="false">IF(OR(I367="",J367=""),"",IF(E367="Buy",(J367-I367)/I367,(I367-J367)/I367))</f>
        <v/>
      </c>
      <c r="N367" s="25" t="str">
        <f aca="false">IF(OR(I367="",J367="",I367=G367),"",IF(E367="Buy",(J367-I367)/(I367-G367),(I367-J367)/(G367-I367)))</f>
        <v/>
      </c>
      <c r="O367" s="2" t="str">
        <f aca="false">IF(OR(B367="",K367=""),"",IFERROR(K367-B367,""))</f>
        <v/>
      </c>
      <c r="P367" s="2" t="str">
        <f aca="false">IF(M367="","",IF(M367&gt;0,1,0))</f>
        <v/>
      </c>
    </row>
    <row r="368" customFormat="false" ht="15" hidden="false" customHeight="false" outlineLevel="0" collapsed="false">
      <c r="M368" s="24" t="str">
        <f aca="false">IF(OR(I368="",J368=""),"",IF(E368="Buy",(J368-I368)/I368,(I368-J368)/I368))</f>
        <v/>
      </c>
      <c r="N368" s="25" t="str">
        <f aca="false">IF(OR(I368="",J368="",I368=G368),"",IF(E368="Buy",(J368-I368)/(I368-G368),(I368-J368)/(G368-I368)))</f>
        <v/>
      </c>
      <c r="O368" s="2" t="str">
        <f aca="false">IF(OR(B368="",K368=""),"",IFERROR(K368-B368,""))</f>
        <v/>
      </c>
      <c r="P368" s="2" t="str">
        <f aca="false">IF(M368="","",IF(M368&gt;0,1,0))</f>
        <v/>
      </c>
    </row>
    <row r="369" customFormat="false" ht="15" hidden="false" customHeight="false" outlineLevel="0" collapsed="false">
      <c r="M369" s="24" t="str">
        <f aca="false">IF(OR(I369="",J369=""),"",IF(E369="Buy",(J369-I369)/I369,(I369-J369)/I369))</f>
        <v/>
      </c>
      <c r="N369" s="25" t="str">
        <f aca="false">IF(OR(I369="",J369="",I369=G369),"",IF(E369="Buy",(J369-I369)/(I369-G369),(I369-J369)/(G369-I369)))</f>
        <v/>
      </c>
      <c r="O369" s="2" t="str">
        <f aca="false">IF(OR(B369="",K369=""),"",IFERROR(K369-B369,""))</f>
        <v/>
      </c>
      <c r="P369" s="2" t="str">
        <f aca="false">IF(M369="","",IF(M369&gt;0,1,0))</f>
        <v/>
      </c>
    </row>
    <row r="370" customFormat="false" ht="15" hidden="false" customHeight="false" outlineLevel="0" collapsed="false">
      <c r="M370" s="24" t="str">
        <f aca="false">IF(OR(I370="",J370=""),"",IF(E370="Buy",(J370-I370)/I370,(I370-J370)/I370))</f>
        <v/>
      </c>
      <c r="N370" s="25" t="str">
        <f aca="false">IF(OR(I370="",J370="",I370=G370),"",IF(E370="Buy",(J370-I370)/(I370-G370),(I370-J370)/(G370-I370)))</f>
        <v/>
      </c>
      <c r="O370" s="2" t="str">
        <f aca="false">IF(OR(B370="",K370=""),"",IFERROR(K370-B370,""))</f>
        <v/>
      </c>
      <c r="P370" s="2" t="str">
        <f aca="false">IF(M370="","",IF(M370&gt;0,1,0))</f>
        <v/>
      </c>
    </row>
    <row r="371" customFormat="false" ht="15" hidden="false" customHeight="false" outlineLevel="0" collapsed="false">
      <c r="M371" s="24" t="str">
        <f aca="false">IF(OR(I371="",J371=""),"",IF(E371="Buy",(J371-I371)/I371,(I371-J371)/I371))</f>
        <v/>
      </c>
      <c r="N371" s="25" t="str">
        <f aca="false">IF(OR(I371="",J371="",I371=G371),"",IF(E371="Buy",(J371-I371)/(I371-G371),(I371-J371)/(G371-I371)))</f>
        <v/>
      </c>
      <c r="O371" s="2" t="str">
        <f aca="false">IF(OR(B371="",K371=""),"",IFERROR(K371-B371,""))</f>
        <v/>
      </c>
      <c r="P371" s="2" t="str">
        <f aca="false">IF(M371="","",IF(M371&gt;0,1,0))</f>
        <v/>
      </c>
    </row>
    <row r="372" customFormat="false" ht="15" hidden="false" customHeight="false" outlineLevel="0" collapsed="false">
      <c r="M372" s="24" t="str">
        <f aca="false">IF(OR(I372="",J372=""),"",IF(E372="Buy",(J372-I372)/I372,(I372-J372)/I372))</f>
        <v/>
      </c>
      <c r="N372" s="25" t="str">
        <f aca="false">IF(OR(I372="",J372="",I372=G372),"",IF(E372="Buy",(J372-I372)/(I372-G372),(I372-J372)/(G372-I372)))</f>
        <v/>
      </c>
      <c r="O372" s="2" t="str">
        <f aca="false">IF(OR(B372="",K372=""),"",IFERROR(K372-B372,""))</f>
        <v/>
      </c>
      <c r="P372" s="2" t="str">
        <f aca="false">IF(M372="","",IF(M372&gt;0,1,0))</f>
        <v/>
      </c>
    </row>
    <row r="373" customFormat="false" ht="15" hidden="false" customHeight="false" outlineLevel="0" collapsed="false">
      <c r="M373" s="24" t="str">
        <f aca="false">IF(OR(I373="",J373=""),"",IF(E373="Buy",(J373-I373)/I373,(I373-J373)/I373))</f>
        <v/>
      </c>
      <c r="N373" s="25" t="str">
        <f aca="false">IF(OR(I373="",J373="",I373=G373),"",IF(E373="Buy",(J373-I373)/(I373-G373),(I373-J373)/(G373-I373)))</f>
        <v/>
      </c>
      <c r="O373" s="2" t="str">
        <f aca="false">IF(OR(B373="",K373=""),"",IFERROR(K373-B373,""))</f>
        <v/>
      </c>
      <c r="P373" s="2" t="str">
        <f aca="false">IF(M373="","",IF(M373&gt;0,1,0))</f>
        <v/>
      </c>
    </row>
    <row r="374" customFormat="false" ht="15" hidden="false" customHeight="false" outlineLevel="0" collapsed="false">
      <c r="M374" s="24" t="str">
        <f aca="false">IF(OR(I374="",J374=""),"",IF(E374="Buy",(J374-I374)/I374,(I374-J374)/I374))</f>
        <v/>
      </c>
      <c r="N374" s="25" t="str">
        <f aca="false">IF(OR(I374="",J374="",I374=G374),"",IF(E374="Buy",(J374-I374)/(I374-G374),(I374-J374)/(G374-I374)))</f>
        <v/>
      </c>
      <c r="O374" s="2" t="str">
        <f aca="false">IF(OR(B374="",K374=""),"",IFERROR(K374-B374,""))</f>
        <v/>
      </c>
      <c r="P374" s="2" t="str">
        <f aca="false">IF(M374="","",IF(M374&gt;0,1,0))</f>
        <v/>
      </c>
    </row>
    <row r="375" customFormat="false" ht="15" hidden="false" customHeight="false" outlineLevel="0" collapsed="false">
      <c r="M375" s="24" t="str">
        <f aca="false">IF(OR(I375="",J375=""),"",IF(E375="Buy",(J375-I375)/I375,(I375-J375)/I375))</f>
        <v/>
      </c>
      <c r="N375" s="25" t="str">
        <f aca="false">IF(OR(I375="",J375="",I375=G375),"",IF(E375="Buy",(J375-I375)/(I375-G375),(I375-J375)/(G375-I375)))</f>
        <v/>
      </c>
      <c r="O375" s="2" t="str">
        <f aca="false">IF(OR(B375="",K375=""),"",IFERROR(K375-B375,""))</f>
        <v/>
      </c>
      <c r="P375" s="2" t="str">
        <f aca="false">IF(M375="","",IF(M375&gt;0,1,0))</f>
        <v/>
      </c>
    </row>
    <row r="376" customFormat="false" ht="15" hidden="false" customHeight="false" outlineLevel="0" collapsed="false">
      <c r="M376" s="24" t="str">
        <f aca="false">IF(OR(I376="",J376=""),"",IF(E376="Buy",(J376-I376)/I376,(I376-J376)/I376))</f>
        <v/>
      </c>
      <c r="N376" s="25" t="str">
        <f aca="false">IF(OR(I376="",J376="",I376=G376),"",IF(E376="Buy",(J376-I376)/(I376-G376),(I376-J376)/(G376-I376)))</f>
        <v/>
      </c>
      <c r="O376" s="2" t="str">
        <f aca="false">IF(OR(B376="",K376=""),"",IFERROR(K376-B376,""))</f>
        <v/>
      </c>
      <c r="P376" s="2" t="str">
        <f aca="false">IF(M376="","",IF(M376&gt;0,1,0))</f>
        <v/>
      </c>
    </row>
    <row r="377" customFormat="false" ht="15" hidden="false" customHeight="false" outlineLevel="0" collapsed="false">
      <c r="M377" s="24" t="str">
        <f aca="false">IF(OR(I377="",J377=""),"",IF(E377="Buy",(J377-I377)/I377,(I377-J377)/I377))</f>
        <v/>
      </c>
      <c r="N377" s="25" t="str">
        <f aca="false">IF(OR(I377="",J377="",I377=G377),"",IF(E377="Buy",(J377-I377)/(I377-G377),(I377-J377)/(G377-I377)))</f>
        <v/>
      </c>
      <c r="O377" s="2" t="str">
        <f aca="false">IF(OR(B377="",K377=""),"",IFERROR(K377-B377,""))</f>
        <v/>
      </c>
      <c r="P377" s="2" t="str">
        <f aca="false">IF(M377="","",IF(M377&gt;0,1,0))</f>
        <v/>
      </c>
    </row>
    <row r="378" customFormat="false" ht="15" hidden="false" customHeight="false" outlineLevel="0" collapsed="false">
      <c r="M378" s="24" t="str">
        <f aca="false">IF(OR(I378="",J378=""),"",IF(E378="Buy",(J378-I378)/I378,(I378-J378)/I378))</f>
        <v/>
      </c>
      <c r="N378" s="25" t="str">
        <f aca="false">IF(OR(I378="",J378="",I378=G378),"",IF(E378="Buy",(J378-I378)/(I378-G378),(I378-J378)/(G378-I378)))</f>
        <v/>
      </c>
      <c r="O378" s="2" t="str">
        <f aca="false">IF(OR(B378="",K378=""),"",IFERROR(K378-B378,""))</f>
        <v/>
      </c>
      <c r="P378" s="2" t="str">
        <f aca="false">IF(M378="","",IF(M378&gt;0,1,0))</f>
        <v/>
      </c>
    </row>
    <row r="379" customFormat="false" ht="15" hidden="false" customHeight="false" outlineLevel="0" collapsed="false">
      <c r="M379" s="24" t="str">
        <f aca="false">IF(OR(I379="",J379=""),"",IF(E379="Buy",(J379-I379)/I379,(I379-J379)/I379))</f>
        <v/>
      </c>
      <c r="N379" s="25" t="str">
        <f aca="false">IF(OR(I379="",J379="",I379=G379),"",IF(E379="Buy",(J379-I379)/(I379-G379),(I379-J379)/(G379-I379)))</f>
        <v/>
      </c>
      <c r="O379" s="2" t="str">
        <f aca="false">IF(OR(B379="",K379=""),"",IFERROR(K379-B379,""))</f>
        <v/>
      </c>
      <c r="P379" s="2" t="str">
        <f aca="false">IF(M379="","",IF(M379&gt;0,1,0))</f>
        <v/>
      </c>
    </row>
    <row r="380" customFormat="false" ht="15" hidden="false" customHeight="false" outlineLevel="0" collapsed="false">
      <c r="M380" s="24" t="str">
        <f aca="false">IF(OR(I380="",J380=""),"",IF(E380="Buy",(J380-I380)/I380,(I380-J380)/I380))</f>
        <v/>
      </c>
      <c r="N380" s="25" t="str">
        <f aca="false">IF(OR(I380="",J380="",I380=G380),"",IF(E380="Buy",(J380-I380)/(I380-G380),(I380-J380)/(G380-I380)))</f>
        <v/>
      </c>
      <c r="O380" s="2" t="str">
        <f aca="false">IF(OR(B380="",K380=""),"",IFERROR(K380-B380,""))</f>
        <v/>
      </c>
      <c r="P380" s="2" t="str">
        <f aca="false">IF(M380="","",IF(M380&gt;0,1,0))</f>
        <v/>
      </c>
    </row>
    <row r="381" customFormat="false" ht="15" hidden="false" customHeight="false" outlineLevel="0" collapsed="false">
      <c r="M381" s="24" t="str">
        <f aca="false">IF(OR(I381="",J381=""),"",IF(E381="Buy",(J381-I381)/I381,(I381-J381)/I381))</f>
        <v/>
      </c>
      <c r="N381" s="25" t="str">
        <f aca="false">IF(OR(I381="",J381="",I381=G381),"",IF(E381="Buy",(J381-I381)/(I381-G381),(I381-J381)/(G381-I381)))</f>
        <v/>
      </c>
      <c r="O381" s="2" t="str">
        <f aca="false">IF(OR(B381="",K381=""),"",IFERROR(K381-B381,""))</f>
        <v/>
      </c>
      <c r="P381" s="2" t="str">
        <f aca="false">IF(M381="","",IF(M381&gt;0,1,0))</f>
        <v/>
      </c>
    </row>
    <row r="382" customFormat="false" ht="15" hidden="false" customHeight="false" outlineLevel="0" collapsed="false">
      <c r="M382" s="24" t="str">
        <f aca="false">IF(OR(I382="",J382=""),"",IF(E382="Buy",(J382-I382)/I382,(I382-J382)/I382))</f>
        <v/>
      </c>
      <c r="N382" s="25" t="str">
        <f aca="false">IF(OR(I382="",J382="",I382=G382),"",IF(E382="Buy",(J382-I382)/(I382-G382),(I382-J382)/(G382-I382)))</f>
        <v/>
      </c>
      <c r="O382" s="2" t="str">
        <f aca="false">IF(OR(B382="",K382=""),"",IFERROR(K382-B382,""))</f>
        <v/>
      </c>
      <c r="P382" s="2" t="str">
        <f aca="false">IF(M382="","",IF(M382&gt;0,1,0))</f>
        <v/>
      </c>
    </row>
    <row r="383" customFormat="false" ht="15" hidden="false" customHeight="false" outlineLevel="0" collapsed="false">
      <c r="M383" s="24" t="str">
        <f aca="false">IF(OR(I383="",J383=""),"",IF(E383="Buy",(J383-I383)/I383,(I383-J383)/I383))</f>
        <v/>
      </c>
      <c r="N383" s="25" t="str">
        <f aca="false">IF(OR(I383="",J383="",I383=G383),"",IF(E383="Buy",(J383-I383)/(I383-G383),(I383-J383)/(G383-I383)))</f>
        <v/>
      </c>
      <c r="O383" s="2" t="str">
        <f aca="false">IF(OR(B383="",K383=""),"",IFERROR(K383-B383,""))</f>
        <v/>
      </c>
      <c r="P383" s="2" t="str">
        <f aca="false">IF(M383="","",IF(M383&gt;0,1,0))</f>
        <v/>
      </c>
    </row>
    <row r="384" customFormat="false" ht="15" hidden="false" customHeight="false" outlineLevel="0" collapsed="false">
      <c r="M384" s="24" t="str">
        <f aca="false">IF(OR(I384="",J384=""),"",IF(E384="Buy",(J384-I384)/I384,(I384-J384)/I384))</f>
        <v/>
      </c>
      <c r="N384" s="25" t="str">
        <f aca="false">IF(OR(I384="",J384="",I384=G384),"",IF(E384="Buy",(J384-I384)/(I384-G384),(I384-J384)/(G384-I384)))</f>
        <v/>
      </c>
      <c r="O384" s="2" t="str">
        <f aca="false">IF(OR(B384="",K384=""),"",IFERROR(K384-B384,""))</f>
        <v/>
      </c>
      <c r="P384" s="2" t="str">
        <f aca="false">IF(M384="","",IF(M384&gt;0,1,0))</f>
        <v/>
      </c>
    </row>
    <row r="385" customFormat="false" ht="15" hidden="false" customHeight="false" outlineLevel="0" collapsed="false">
      <c r="M385" s="24" t="str">
        <f aca="false">IF(OR(I385="",J385=""),"",IF(E385="Buy",(J385-I385)/I385,(I385-J385)/I385))</f>
        <v/>
      </c>
      <c r="N385" s="25" t="str">
        <f aca="false">IF(OR(I385="",J385="",I385=G385),"",IF(E385="Buy",(J385-I385)/(I385-G385),(I385-J385)/(G385-I385)))</f>
        <v/>
      </c>
      <c r="O385" s="2" t="str">
        <f aca="false">IF(OR(B385="",K385=""),"",IFERROR(K385-B385,""))</f>
        <v/>
      </c>
      <c r="P385" s="2" t="str">
        <f aca="false">IF(M385="","",IF(M385&gt;0,1,0))</f>
        <v/>
      </c>
    </row>
    <row r="386" customFormat="false" ht="15" hidden="false" customHeight="false" outlineLevel="0" collapsed="false">
      <c r="M386" s="24" t="str">
        <f aca="false">IF(OR(I386="",J386=""),"",IF(E386="Buy",(J386-I386)/I386,(I386-J386)/I386))</f>
        <v/>
      </c>
      <c r="N386" s="25" t="str">
        <f aca="false">IF(OR(I386="",J386="",I386=G386),"",IF(E386="Buy",(J386-I386)/(I386-G386),(I386-J386)/(G386-I386)))</f>
        <v/>
      </c>
      <c r="O386" s="2" t="str">
        <f aca="false">IF(OR(B386="",K386=""),"",IFERROR(K386-B386,""))</f>
        <v/>
      </c>
      <c r="P386" s="2" t="str">
        <f aca="false">IF(M386="","",IF(M386&gt;0,1,0))</f>
        <v/>
      </c>
    </row>
    <row r="387" customFormat="false" ht="15" hidden="false" customHeight="false" outlineLevel="0" collapsed="false">
      <c r="M387" s="24" t="str">
        <f aca="false">IF(OR(I387="",J387=""),"",IF(E387="Buy",(J387-I387)/I387,(I387-J387)/I387))</f>
        <v/>
      </c>
      <c r="N387" s="25" t="str">
        <f aca="false">IF(OR(I387="",J387="",I387=G387),"",IF(E387="Buy",(J387-I387)/(I387-G387),(I387-J387)/(G387-I387)))</f>
        <v/>
      </c>
      <c r="O387" s="2" t="str">
        <f aca="false">IF(OR(B387="",K387=""),"",IFERROR(K387-B387,""))</f>
        <v/>
      </c>
      <c r="P387" s="2" t="str">
        <f aca="false">IF(M387="","",IF(M387&gt;0,1,0))</f>
        <v/>
      </c>
    </row>
    <row r="388" customFormat="false" ht="15" hidden="false" customHeight="false" outlineLevel="0" collapsed="false">
      <c r="M388" s="24" t="str">
        <f aca="false">IF(OR(I388="",J388=""),"",IF(E388="Buy",(J388-I388)/I388,(I388-J388)/I388))</f>
        <v/>
      </c>
      <c r="N388" s="25" t="str">
        <f aca="false">IF(OR(I388="",J388="",I388=G388),"",IF(E388="Buy",(J388-I388)/(I388-G388),(I388-J388)/(G388-I388)))</f>
        <v/>
      </c>
      <c r="O388" s="2" t="str">
        <f aca="false">IF(OR(B388="",K388=""),"",IFERROR(K388-B388,""))</f>
        <v/>
      </c>
      <c r="P388" s="2" t="str">
        <f aca="false">IF(M388="","",IF(M388&gt;0,1,0))</f>
        <v/>
      </c>
    </row>
    <row r="389" customFormat="false" ht="15" hidden="false" customHeight="false" outlineLevel="0" collapsed="false">
      <c r="M389" s="24" t="str">
        <f aca="false">IF(OR(I389="",J389=""),"",IF(E389="Buy",(J389-I389)/I389,(I389-J389)/I389))</f>
        <v/>
      </c>
      <c r="N389" s="25" t="str">
        <f aca="false">IF(OR(I389="",J389="",I389=G389),"",IF(E389="Buy",(J389-I389)/(I389-G389),(I389-J389)/(G389-I389)))</f>
        <v/>
      </c>
      <c r="O389" s="2" t="str">
        <f aca="false">IF(OR(B389="",K389=""),"",IFERROR(K389-B389,""))</f>
        <v/>
      </c>
      <c r="P389" s="2" t="str">
        <f aca="false">IF(M389="","",IF(M389&gt;0,1,0))</f>
        <v/>
      </c>
    </row>
    <row r="390" customFormat="false" ht="15" hidden="false" customHeight="false" outlineLevel="0" collapsed="false">
      <c r="M390" s="24" t="str">
        <f aca="false">IF(OR(I390="",J390=""),"",IF(E390="Buy",(J390-I390)/I390,(I390-J390)/I390))</f>
        <v/>
      </c>
      <c r="N390" s="25" t="str">
        <f aca="false">IF(OR(I390="",J390="",I390=G390),"",IF(E390="Buy",(J390-I390)/(I390-G390),(I390-J390)/(G390-I390)))</f>
        <v/>
      </c>
      <c r="O390" s="2" t="str">
        <f aca="false">IF(OR(B390="",K390=""),"",IFERROR(K390-B390,""))</f>
        <v/>
      </c>
      <c r="P390" s="2" t="str">
        <f aca="false">IF(M390="","",IF(M390&gt;0,1,0))</f>
        <v/>
      </c>
    </row>
    <row r="391" customFormat="false" ht="15" hidden="false" customHeight="false" outlineLevel="0" collapsed="false">
      <c r="M391" s="24" t="str">
        <f aca="false">IF(OR(I391="",J391=""),"",IF(E391="Buy",(J391-I391)/I391,(I391-J391)/I391))</f>
        <v/>
      </c>
      <c r="N391" s="25" t="str">
        <f aca="false">IF(OR(I391="",J391="",I391=G391),"",IF(E391="Buy",(J391-I391)/(I391-G391),(I391-J391)/(G391-I391)))</f>
        <v/>
      </c>
      <c r="O391" s="2" t="str">
        <f aca="false">IF(OR(B391="",K391=""),"",IFERROR(K391-B391,""))</f>
        <v/>
      </c>
      <c r="P391" s="2" t="str">
        <f aca="false">IF(M391="","",IF(M391&gt;0,1,0))</f>
        <v/>
      </c>
    </row>
    <row r="392" customFormat="false" ht="15" hidden="false" customHeight="false" outlineLevel="0" collapsed="false">
      <c r="M392" s="24" t="str">
        <f aca="false">IF(OR(I392="",J392=""),"",IF(E392="Buy",(J392-I392)/I392,(I392-J392)/I392))</f>
        <v/>
      </c>
      <c r="N392" s="25" t="str">
        <f aca="false">IF(OR(I392="",J392="",I392=G392),"",IF(E392="Buy",(J392-I392)/(I392-G392),(I392-J392)/(G392-I392)))</f>
        <v/>
      </c>
      <c r="O392" s="2" t="str">
        <f aca="false">IF(OR(B392="",K392=""),"",IFERROR(K392-B392,""))</f>
        <v/>
      </c>
      <c r="P392" s="2" t="str">
        <f aca="false">IF(M392="","",IF(M392&gt;0,1,0))</f>
        <v/>
      </c>
    </row>
    <row r="393" customFormat="false" ht="15" hidden="false" customHeight="false" outlineLevel="0" collapsed="false">
      <c r="M393" s="24" t="str">
        <f aca="false">IF(OR(I393="",J393=""),"",IF(E393="Buy",(J393-I393)/I393,(I393-J393)/I393))</f>
        <v/>
      </c>
      <c r="N393" s="25" t="str">
        <f aca="false">IF(OR(I393="",J393="",I393=G393),"",IF(E393="Buy",(J393-I393)/(I393-G393),(I393-J393)/(G393-I393)))</f>
        <v/>
      </c>
      <c r="O393" s="2" t="str">
        <f aca="false">IF(OR(B393="",K393=""),"",IFERROR(K393-B393,""))</f>
        <v/>
      </c>
      <c r="P393" s="2" t="str">
        <f aca="false">IF(M393="","",IF(M393&gt;0,1,0))</f>
        <v/>
      </c>
    </row>
    <row r="394" customFormat="false" ht="15" hidden="false" customHeight="false" outlineLevel="0" collapsed="false">
      <c r="M394" s="24" t="str">
        <f aca="false">IF(OR(I394="",J394=""),"",IF(E394="Buy",(J394-I394)/I394,(I394-J394)/I394))</f>
        <v/>
      </c>
      <c r="N394" s="25" t="str">
        <f aca="false">IF(OR(I394="",J394="",I394=G394),"",IF(E394="Buy",(J394-I394)/(I394-G394),(I394-J394)/(G394-I394)))</f>
        <v/>
      </c>
      <c r="O394" s="2" t="str">
        <f aca="false">IF(OR(B394="",K394=""),"",IFERROR(K394-B394,""))</f>
        <v/>
      </c>
      <c r="P394" s="2" t="str">
        <f aca="false">IF(M394="","",IF(M394&gt;0,1,0))</f>
        <v/>
      </c>
    </row>
    <row r="395" customFormat="false" ht="15" hidden="false" customHeight="false" outlineLevel="0" collapsed="false">
      <c r="M395" s="24" t="str">
        <f aca="false">IF(OR(I395="",J395=""),"",IF(E395="Buy",(J395-I395)/I395,(I395-J395)/I395))</f>
        <v/>
      </c>
      <c r="N395" s="25" t="str">
        <f aca="false">IF(OR(I395="",J395="",I395=G395),"",IF(E395="Buy",(J395-I395)/(I395-G395),(I395-J395)/(G395-I395)))</f>
        <v/>
      </c>
      <c r="O395" s="2" t="str">
        <f aca="false">IF(OR(B395="",K395=""),"",IFERROR(K395-B395,""))</f>
        <v/>
      </c>
      <c r="P395" s="2" t="str">
        <f aca="false">IF(M395="","",IF(M395&gt;0,1,0))</f>
        <v/>
      </c>
    </row>
    <row r="396" customFormat="false" ht="15" hidden="false" customHeight="false" outlineLevel="0" collapsed="false">
      <c r="M396" s="24" t="str">
        <f aca="false">IF(OR(I396="",J396=""),"",IF(E396="Buy",(J396-I396)/I396,(I396-J396)/I396))</f>
        <v/>
      </c>
      <c r="N396" s="25" t="str">
        <f aca="false">IF(OR(I396="",J396="",I396=G396),"",IF(E396="Buy",(J396-I396)/(I396-G396),(I396-J396)/(G396-I396)))</f>
        <v/>
      </c>
      <c r="O396" s="2" t="str">
        <f aca="false">IF(OR(B396="",K396=""),"",IFERROR(K396-B396,""))</f>
        <v/>
      </c>
      <c r="P396" s="2" t="str">
        <f aca="false">IF(M396="","",IF(M396&gt;0,1,0))</f>
        <v/>
      </c>
    </row>
    <row r="397" customFormat="false" ht="15" hidden="false" customHeight="false" outlineLevel="0" collapsed="false">
      <c r="M397" s="24" t="str">
        <f aca="false">IF(OR(I397="",J397=""),"",IF(E397="Buy",(J397-I397)/I397,(I397-J397)/I397))</f>
        <v/>
      </c>
      <c r="N397" s="25" t="str">
        <f aca="false">IF(OR(I397="",J397="",I397=G397),"",IF(E397="Buy",(J397-I397)/(I397-G397),(I397-J397)/(G397-I397)))</f>
        <v/>
      </c>
      <c r="O397" s="2" t="str">
        <f aca="false">IF(OR(B397="",K397=""),"",IFERROR(K397-B397,""))</f>
        <v/>
      </c>
      <c r="P397" s="2" t="str">
        <f aca="false">IF(M397="","",IF(M397&gt;0,1,0))</f>
        <v/>
      </c>
    </row>
    <row r="398" customFormat="false" ht="15" hidden="false" customHeight="false" outlineLevel="0" collapsed="false">
      <c r="M398" s="24" t="str">
        <f aca="false">IF(OR(I398="",J398=""),"",IF(E398="Buy",(J398-I398)/I398,(I398-J398)/I398))</f>
        <v/>
      </c>
      <c r="N398" s="25" t="str">
        <f aca="false">IF(OR(I398="",J398="",I398=G398),"",IF(E398="Buy",(J398-I398)/(I398-G398),(I398-J398)/(G398-I398)))</f>
        <v/>
      </c>
      <c r="O398" s="2" t="str">
        <f aca="false">IF(OR(B398="",K398=""),"",IFERROR(K398-B398,""))</f>
        <v/>
      </c>
      <c r="P398" s="2" t="str">
        <f aca="false">IF(M398="","",IF(M398&gt;0,1,0))</f>
        <v/>
      </c>
    </row>
    <row r="399" customFormat="false" ht="15" hidden="false" customHeight="false" outlineLevel="0" collapsed="false">
      <c r="M399" s="24" t="str">
        <f aca="false">IF(OR(I399="",J399=""),"",IF(E399="Buy",(J399-I399)/I399,(I399-J399)/I399))</f>
        <v/>
      </c>
      <c r="N399" s="25" t="str">
        <f aca="false">IF(OR(I399="",J399="",I399=G399),"",IF(E399="Buy",(J399-I399)/(I399-G399),(I399-J399)/(G399-I399)))</f>
        <v/>
      </c>
      <c r="O399" s="2" t="str">
        <f aca="false">IF(OR(B399="",K399=""),"",IFERROR(K399-B399,""))</f>
        <v/>
      </c>
      <c r="P399" s="2" t="str">
        <f aca="false">IF(M399="","",IF(M399&gt;0,1,0))</f>
        <v/>
      </c>
    </row>
    <row r="400" customFormat="false" ht="15" hidden="false" customHeight="false" outlineLevel="0" collapsed="false">
      <c r="M400" s="24" t="str">
        <f aca="false">IF(OR(I400="",J400=""),"",IF(E400="Buy",(J400-I400)/I400,(I400-J400)/I400))</f>
        <v/>
      </c>
      <c r="N400" s="25" t="str">
        <f aca="false">IF(OR(I400="",J400="",I400=G400),"",IF(E400="Buy",(J400-I400)/(I400-G400),(I400-J400)/(G400-I400)))</f>
        <v/>
      </c>
      <c r="O400" s="2" t="str">
        <f aca="false">IF(OR(B400="",K400=""),"",IFERROR(K400-B400,""))</f>
        <v/>
      </c>
      <c r="P400" s="2" t="str">
        <f aca="false">IF(M400="","",IF(M400&gt;0,1,0))</f>
        <v/>
      </c>
    </row>
    <row r="401" customFormat="false" ht="15" hidden="false" customHeight="false" outlineLevel="0" collapsed="false">
      <c r="M401" s="24" t="str">
        <f aca="false">IF(OR(I401="",J401=""),"",IF(E401="Buy",(J401-I401)/I401,(I401-J401)/I401))</f>
        <v/>
      </c>
      <c r="N401" s="25" t="str">
        <f aca="false">IF(OR(I401="",J401="",I401=G401),"",IF(E401="Buy",(J401-I401)/(I401-G401),(I401-J401)/(G401-I401)))</f>
        <v/>
      </c>
      <c r="O401" s="2" t="str">
        <f aca="false">IF(OR(B401="",K401=""),"",IFERROR(K401-B401,""))</f>
        <v/>
      </c>
      <c r="P401" s="2" t="str">
        <f aca="false">IF(M401="","",IF(M401&gt;0,1,0))</f>
        <v/>
      </c>
    </row>
    <row r="402" customFormat="false" ht="15" hidden="false" customHeight="false" outlineLevel="0" collapsed="false">
      <c r="M402" s="24" t="str">
        <f aca="false">IF(OR(I402="",J402=""),"",IF(E402="Buy",(J402-I402)/I402,(I402-J402)/I402))</f>
        <v/>
      </c>
      <c r="N402" s="25" t="str">
        <f aca="false">IF(OR(I402="",J402="",I402=G402),"",IF(E402="Buy",(J402-I402)/(I402-G402),(I402-J402)/(G402-I402)))</f>
        <v/>
      </c>
      <c r="O402" s="2" t="str">
        <f aca="false">IF(OR(B402="",K402=""),"",IFERROR(K402-B402,""))</f>
        <v/>
      </c>
      <c r="P402" s="2" t="str">
        <f aca="false">IF(M402="","",IF(M402&gt;0,1,0))</f>
        <v/>
      </c>
    </row>
    <row r="403" customFormat="false" ht="15" hidden="false" customHeight="false" outlineLevel="0" collapsed="false">
      <c r="M403" s="24" t="str">
        <f aca="false">IF(OR(I403="",J403=""),"",IF(E403="Buy",(J403-I403)/I403,(I403-J403)/I403))</f>
        <v/>
      </c>
      <c r="N403" s="25" t="str">
        <f aca="false">IF(OR(I403="",J403="",I403=G403),"",IF(E403="Buy",(J403-I403)/(I403-G403),(I403-J403)/(G403-I403)))</f>
        <v/>
      </c>
      <c r="O403" s="2" t="str">
        <f aca="false">IF(OR(B403="",K403=""),"",IFERROR(K403-B403,""))</f>
        <v/>
      </c>
      <c r="P403" s="2" t="str">
        <f aca="false">IF(M403="","",IF(M403&gt;0,1,0))</f>
        <v/>
      </c>
    </row>
    <row r="404" customFormat="false" ht="15" hidden="false" customHeight="false" outlineLevel="0" collapsed="false">
      <c r="M404" s="24" t="str">
        <f aca="false">IF(OR(I404="",J404=""),"",IF(E404="Buy",(J404-I404)/I404,(I404-J404)/I404))</f>
        <v/>
      </c>
      <c r="N404" s="25" t="str">
        <f aca="false">IF(OR(I404="",J404="",I404=G404),"",IF(E404="Buy",(J404-I404)/(I404-G404),(I404-J404)/(G404-I404)))</f>
        <v/>
      </c>
      <c r="O404" s="2" t="str">
        <f aca="false">IF(OR(B404="",K404=""),"",IFERROR(K404-B404,""))</f>
        <v/>
      </c>
      <c r="P404" s="2" t="str">
        <f aca="false">IF(M404="","",IF(M404&gt;0,1,0))</f>
        <v/>
      </c>
    </row>
    <row r="405" customFormat="false" ht="15" hidden="false" customHeight="false" outlineLevel="0" collapsed="false">
      <c r="M405" s="24" t="str">
        <f aca="false">IF(OR(I405="",J405=""),"",IF(E405="Buy",(J405-I405)/I405,(I405-J405)/I405))</f>
        <v/>
      </c>
      <c r="N405" s="25" t="str">
        <f aca="false">IF(OR(I405="",J405="",I405=G405),"",IF(E405="Buy",(J405-I405)/(I405-G405),(I405-J405)/(G405-I405)))</f>
        <v/>
      </c>
      <c r="O405" s="2" t="str">
        <f aca="false">IF(OR(B405="",K405=""),"",IFERROR(K405-B405,""))</f>
        <v/>
      </c>
      <c r="P405" s="2" t="str">
        <f aca="false">IF(M405="","",IF(M405&gt;0,1,0))</f>
        <v/>
      </c>
    </row>
    <row r="406" customFormat="false" ht="15" hidden="false" customHeight="false" outlineLevel="0" collapsed="false">
      <c r="M406" s="24" t="str">
        <f aca="false">IF(OR(I406="",J406=""),"",IF(E406="Buy",(J406-I406)/I406,(I406-J406)/I406))</f>
        <v/>
      </c>
      <c r="N406" s="25" t="str">
        <f aca="false">IF(OR(I406="",J406="",I406=G406),"",IF(E406="Buy",(J406-I406)/(I406-G406),(I406-J406)/(G406-I406)))</f>
        <v/>
      </c>
      <c r="O406" s="2" t="str">
        <f aca="false">IF(OR(B406="",K406=""),"",IFERROR(K406-B406,""))</f>
        <v/>
      </c>
      <c r="P406" s="2" t="str">
        <f aca="false">IF(M406="","",IF(M406&gt;0,1,0))</f>
        <v/>
      </c>
    </row>
    <row r="407" customFormat="false" ht="15" hidden="false" customHeight="false" outlineLevel="0" collapsed="false">
      <c r="M407" s="24" t="str">
        <f aca="false">IF(OR(I407="",J407=""),"",IF(E407="Buy",(J407-I407)/I407,(I407-J407)/I407))</f>
        <v/>
      </c>
      <c r="N407" s="25" t="str">
        <f aca="false">IF(OR(I407="",J407="",I407=G407),"",IF(E407="Buy",(J407-I407)/(I407-G407),(I407-J407)/(G407-I407)))</f>
        <v/>
      </c>
      <c r="O407" s="2" t="str">
        <f aca="false">IF(OR(B407="",K407=""),"",IFERROR(K407-B407,""))</f>
        <v/>
      </c>
      <c r="P407" s="2" t="str">
        <f aca="false">IF(M407="","",IF(M407&gt;0,1,0))</f>
        <v/>
      </c>
    </row>
    <row r="408" customFormat="false" ht="15" hidden="false" customHeight="false" outlineLevel="0" collapsed="false">
      <c r="M408" s="24" t="str">
        <f aca="false">IF(OR(I408="",J408=""),"",IF(E408="Buy",(J408-I408)/I408,(I408-J408)/I408))</f>
        <v/>
      </c>
      <c r="N408" s="25" t="str">
        <f aca="false">IF(OR(I408="",J408="",I408=G408),"",IF(E408="Buy",(J408-I408)/(I408-G408),(I408-J408)/(G408-I408)))</f>
        <v/>
      </c>
      <c r="O408" s="2" t="str">
        <f aca="false">IF(OR(B408="",K408=""),"",IFERROR(K408-B408,""))</f>
        <v/>
      </c>
      <c r="P408" s="2" t="str">
        <f aca="false">IF(M408="","",IF(M408&gt;0,1,0))</f>
        <v/>
      </c>
    </row>
    <row r="409" customFormat="false" ht="15" hidden="false" customHeight="false" outlineLevel="0" collapsed="false">
      <c r="M409" s="24" t="str">
        <f aca="false">IF(OR(I409="",J409=""),"",IF(E409="Buy",(J409-I409)/I409,(I409-J409)/I409))</f>
        <v/>
      </c>
      <c r="N409" s="25" t="str">
        <f aca="false">IF(OR(I409="",J409="",I409=G409),"",IF(E409="Buy",(J409-I409)/(I409-G409),(I409-J409)/(G409-I409)))</f>
        <v/>
      </c>
      <c r="O409" s="2" t="str">
        <f aca="false">IF(OR(B409="",K409=""),"",IFERROR(K409-B409,""))</f>
        <v/>
      </c>
      <c r="P409" s="2" t="str">
        <f aca="false">IF(M409="","",IF(M409&gt;0,1,0))</f>
        <v/>
      </c>
    </row>
    <row r="410" customFormat="false" ht="15" hidden="false" customHeight="false" outlineLevel="0" collapsed="false">
      <c r="M410" s="24" t="str">
        <f aca="false">IF(OR(I410="",J410=""),"",IF(E410="Buy",(J410-I410)/I410,(I410-J410)/I410))</f>
        <v/>
      </c>
      <c r="N410" s="25" t="str">
        <f aca="false">IF(OR(I410="",J410="",I410=G410),"",IF(E410="Buy",(J410-I410)/(I410-G410),(I410-J410)/(G410-I410)))</f>
        <v/>
      </c>
      <c r="O410" s="2" t="str">
        <f aca="false">IF(OR(B410="",K410=""),"",IFERROR(K410-B410,""))</f>
        <v/>
      </c>
      <c r="P410" s="2" t="str">
        <f aca="false">IF(M410="","",IF(M410&gt;0,1,0))</f>
        <v/>
      </c>
    </row>
    <row r="411" customFormat="false" ht="15" hidden="false" customHeight="false" outlineLevel="0" collapsed="false">
      <c r="M411" s="24" t="str">
        <f aca="false">IF(OR(I411="",J411=""),"",IF(E411="Buy",(J411-I411)/I411,(I411-J411)/I411))</f>
        <v/>
      </c>
      <c r="N411" s="25" t="str">
        <f aca="false">IF(OR(I411="",J411="",I411=G411),"",IF(E411="Buy",(J411-I411)/(I411-G411),(I411-J411)/(G411-I411)))</f>
        <v/>
      </c>
      <c r="O411" s="2" t="str">
        <f aca="false">IF(OR(B411="",K411=""),"",IFERROR(K411-B411,""))</f>
        <v/>
      </c>
      <c r="P411" s="2" t="str">
        <f aca="false">IF(M411="","",IF(M411&gt;0,1,0))</f>
        <v/>
      </c>
    </row>
    <row r="412" customFormat="false" ht="15" hidden="false" customHeight="false" outlineLevel="0" collapsed="false">
      <c r="M412" s="24" t="str">
        <f aca="false">IF(OR(I412="",J412=""),"",IF(E412="Buy",(J412-I412)/I412,(I412-J412)/I412))</f>
        <v/>
      </c>
      <c r="N412" s="25" t="str">
        <f aca="false">IF(OR(I412="",J412="",I412=G412),"",IF(E412="Buy",(J412-I412)/(I412-G412),(I412-J412)/(G412-I412)))</f>
        <v/>
      </c>
      <c r="O412" s="2" t="str">
        <f aca="false">IF(OR(B412="",K412=""),"",IFERROR(K412-B412,""))</f>
        <v/>
      </c>
      <c r="P412" s="2" t="str">
        <f aca="false">IF(M412="","",IF(M412&gt;0,1,0))</f>
        <v/>
      </c>
    </row>
    <row r="413" customFormat="false" ht="15" hidden="false" customHeight="false" outlineLevel="0" collapsed="false">
      <c r="M413" s="24" t="str">
        <f aca="false">IF(OR(I413="",J413=""),"",IF(E413="Buy",(J413-I413)/I413,(I413-J413)/I413))</f>
        <v/>
      </c>
      <c r="N413" s="25" t="str">
        <f aca="false">IF(OR(I413="",J413="",I413=G413),"",IF(E413="Buy",(J413-I413)/(I413-G413),(I413-J413)/(G413-I413)))</f>
        <v/>
      </c>
      <c r="O413" s="2" t="str">
        <f aca="false">IF(OR(B413="",K413=""),"",IFERROR(K413-B413,""))</f>
        <v/>
      </c>
      <c r="P413" s="2" t="str">
        <f aca="false">IF(M413="","",IF(M413&gt;0,1,0))</f>
        <v/>
      </c>
    </row>
    <row r="414" customFormat="false" ht="15" hidden="false" customHeight="false" outlineLevel="0" collapsed="false">
      <c r="M414" s="24" t="str">
        <f aca="false">IF(OR(I414="",J414=""),"",IF(E414="Buy",(J414-I414)/I414,(I414-J414)/I414))</f>
        <v/>
      </c>
      <c r="N414" s="25" t="str">
        <f aca="false">IF(OR(I414="",J414="",I414=G414),"",IF(E414="Buy",(J414-I414)/(I414-G414),(I414-J414)/(G414-I414)))</f>
        <v/>
      </c>
      <c r="O414" s="2" t="str">
        <f aca="false">IF(OR(B414="",K414=""),"",IFERROR(K414-B414,""))</f>
        <v/>
      </c>
      <c r="P414" s="2" t="str">
        <f aca="false">IF(M414="","",IF(M414&gt;0,1,0))</f>
        <v/>
      </c>
    </row>
    <row r="415" customFormat="false" ht="15" hidden="false" customHeight="false" outlineLevel="0" collapsed="false">
      <c r="M415" s="24" t="str">
        <f aca="false">IF(OR(I415="",J415=""),"",IF(E415="Buy",(J415-I415)/I415,(I415-J415)/I415))</f>
        <v/>
      </c>
      <c r="N415" s="25" t="str">
        <f aca="false">IF(OR(I415="",J415="",I415=G415),"",IF(E415="Buy",(J415-I415)/(I415-G415),(I415-J415)/(G415-I415)))</f>
        <v/>
      </c>
      <c r="O415" s="2" t="str">
        <f aca="false">IF(OR(B415="",K415=""),"",IFERROR(K415-B415,""))</f>
        <v/>
      </c>
      <c r="P415" s="2" t="str">
        <f aca="false">IF(M415="","",IF(M415&gt;0,1,0))</f>
        <v/>
      </c>
    </row>
    <row r="416" customFormat="false" ht="15" hidden="false" customHeight="false" outlineLevel="0" collapsed="false">
      <c r="M416" s="24" t="str">
        <f aca="false">IF(OR(I416="",J416=""),"",IF(E416="Buy",(J416-I416)/I416,(I416-J416)/I416))</f>
        <v/>
      </c>
      <c r="N416" s="25" t="str">
        <f aca="false">IF(OR(I416="",J416="",I416=G416),"",IF(E416="Buy",(J416-I416)/(I416-G416),(I416-J416)/(G416-I416)))</f>
        <v/>
      </c>
      <c r="O416" s="2" t="str">
        <f aca="false">IF(OR(B416="",K416=""),"",IFERROR(K416-B416,""))</f>
        <v/>
      </c>
      <c r="P416" s="2" t="str">
        <f aca="false">IF(M416="","",IF(M416&gt;0,1,0))</f>
        <v/>
      </c>
    </row>
    <row r="417" customFormat="false" ht="15" hidden="false" customHeight="false" outlineLevel="0" collapsed="false">
      <c r="M417" s="24" t="str">
        <f aca="false">IF(OR(I417="",J417=""),"",IF(E417="Buy",(J417-I417)/I417,(I417-J417)/I417))</f>
        <v/>
      </c>
      <c r="N417" s="25" t="str">
        <f aca="false">IF(OR(I417="",J417="",I417=G417),"",IF(E417="Buy",(J417-I417)/(I417-G417),(I417-J417)/(G417-I417)))</f>
        <v/>
      </c>
      <c r="O417" s="2" t="str">
        <f aca="false">IF(OR(B417="",K417=""),"",IFERROR(K417-B417,""))</f>
        <v/>
      </c>
      <c r="P417" s="2" t="str">
        <f aca="false">IF(M417="","",IF(M417&gt;0,1,0))</f>
        <v/>
      </c>
    </row>
    <row r="418" customFormat="false" ht="15" hidden="false" customHeight="false" outlineLevel="0" collapsed="false">
      <c r="M418" s="24" t="str">
        <f aca="false">IF(OR(I418="",J418=""),"",IF(E418="Buy",(J418-I418)/I418,(I418-J418)/I418))</f>
        <v/>
      </c>
      <c r="N418" s="25" t="str">
        <f aca="false">IF(OR(I418="",J418="",I418=G418),"",IF(E418="Buy",(J418-I418)/(I418-G418),(I418-J418)/(G418-I418)))</f>
        <v/>
      </c>
      <c r="O418" s="2" t="str">
        <f aca="false">IF(OR(B418="",K418=""),"",IFERROR(K418-B418,""))</f>
        <v/>
      </c>
      <c r="P418" s="2" t="str">
        <f aca="false">IF(M418="","",IF(M418&gt;0,1,0))</f>
        <v/>
      </c>
    </row>
    <row r="419" customFormat="false" ht="15" hidden="false" customHeight="false" outlineLevel="0" collapsed="false">
      <c r="M419" s="24" t="str">
        <f aca="false">IF(OR(I419="",J419=""),"",IF(E419="Buy",(J419-I419)/I419,(I419-J419)/I419))</f>
        <v/>
      </c>
      <c r="N419" s="25" t="str">
        <f aca="false">IF(OR(I419="",J419="",I419=G419),"",IF(E419="Buy",(J419-I419)/(I419-G419),(I419-J419)/(G419-I419)))</f>
        <v/>
      </c>
      <c r="O419" s="2" t="str">
        <f aca="false">IF(OR(B419="",K419=""),"",IFERROR(K419-B419,""))</f>
        <v/>
      </c>
      <c r="P419" s="2" t="str">
        <f aca="false">IF(M419="","",IF(M419&gt;0,1,0))</f>
        <v/>
      </c>
    </row>
    <row r="420" customFormat="false" ht="15" hidden="false" customHeight="false" outlineLevel="0" collapsed="false">
      <c r="M420" s="24" t="str">
        <f aca="false">IF(OR(I420="",J420=""),"",IF(E420="Buy",(J420-I420)/I420,(I420-J420)/I420))</f>
        <v/>
      </c>
      <c r="N420" s="25" t="str">
        <f aca="false">IF(OR(I420="",J420="",I420=G420),"",IF(E420="Buy",(J420-I420)/(I420-G420),(I420-J420)/(G420-I420)))</f>
        <v/>
      </c>
      <c r="O420" s="2" t="str">
        <f aca="false">IF(OR(B420="",K420=""),"",IFERROR(K420-B420,""))</f>
        <v/>
      </c>
      <c r="P420" s="2" t="str">
        <f aca="false">IF(M420="","",IF(M420&gt;0,1,0))</f>
        <v/>
      </c>
    </row>
    <row r="421" customFormat="false" ht="15" hidden="false" customHeight="false" outlineLevel="0" collapsed="false">
      <c r="M421" s="24" t="str">
        <f aca="false">IF(OR(I421="",J421=""),"",IF(E421="Buy",(J421-I421)/I421,(I421-J421)/I421))</f>
        <v/>
      </c>
      <c r="N421" s="25" t="str">
        <f aca="false">IF(OR(I421="",J421="",I421=G421),"",IF(E421="Buy",(J421-I421)/(I421-G421),(I421-J421)/(G421-I421)))</f>
        <v/>
      </c>
      <c r="O421" s="2" t="str">
        <f aca="false">IF(OR(B421="",K421=""),"",IFERROR(K421-B421,""))</f>
        <v/>
      </c>
      <c r="P421" s="2" t="str">
        <f aca="false">IF(M421="","",IF(M421&gt;0,1,0))</f>
        <v/>
      </c>
    </row>
    <row r="422" customFormat="false" ht="15" hidden="false" customHeight="false" outlineLevel="0" collapsed="false">
      <c r="M422" s="24" t="str">
        <f aca="false">IF(OR(I422="",J422=""),"",IF(E422="Buy",(J422-I422)/I422,(I422-J422)/I422))</f>
        <v/>
      </c>
      <c r="N422" s="25" t="str">
        <f aca="false">IF(OR(I422="",J422="",I422=G422),"",IF(E422="Buy",(J422-I422)/(I422-G422),(I422-J422)/(G422-I422)))</f>
        <v/>
      </c>
      <c r="O422" s="2" t="str">
        <f aca="false">IF(OR(B422="",K422=""),"",IFERROR(K422-B422,""))</f>
        <v/>
      </c>
      <c r="P422" s="2" t="str">
        <f aca="false">IF(M422="","",IF(M422&gt;0,1,0))</f>
        <v/>
      </c>
    </row>
    <row r="423" customFormat="false" ht="15" hidden="false" customHeight="false" outlineLevel="0" collapsed="false">
      <c r="M423" s="24" t="str">
        <f aca="false">IF(OR(I423="",J423=""),"",IF(E423="Buy",(J423-I423)/I423,(I423-J423)/I423))</f>
        <v/>
      </c>
      <c r="N423" s="25" t="str">
        <f aca="false">IF(OR(I423="",J423="",I423=G423),"",IF(E423="Buy",(J423-I423)/(I423-G423),(I423-J423)/(G423-I423)))</f>
        <v/>
      </c>
      <c r="O423" s="2" t="str">
        <f aca="false">IF(OR(B423="",K423=""),"",IFERROR(K423-B423,""))</f>
        <v/>
      </c>
      <c r="P423" s="2" t="str">
        <f aca="false">IF(M423="","",IF(M423&gt;0,1,0))</f>
        <v/>
      </c>
    </row>
    <row r="424" customFormat="false" ht="15" hidden="false" customHeight="false" outlineLevel="0" collapsed="false">
      <c r="M424" s="24" t="str">
        <f aca="false">IF(OR(I424="",J424=""),"",IF(E424="Buy",(J424-I424)/I424,(I424-J424)/I424))</f>
        <v/>
      </c>
      <c r="N424" s="25" t="str">
        <f aca="false">IF(OR(I424="",J424="",I424=G424),"",IF(E424="Buy",(J424-I424)/(I424-G424),(I424-J424)/(G424-I424)))</f>
        <v/>
      </c>
      <c r="O424" s="2" t="str">
        <f aca="false">IF(OR(B424="",K424=""),"",IFERROR(K424-B424,""))</f>
        <v/>
      </c>
      <c r="P424" s="2" t="str">
        <f aca="false">IF(M424="","",IF(M424&gt;0,1,0))</f>
        <v/>
      </c>
    </row>
    <row r="425" customFormat="false" ht="15" hidden="false" customHeight="false" outlineLevel="0" collapsed="false">
      <c r="M425" s="24" t="str">
        <f aca="false">IF(OR(I425="",J425=""),"",IF(E425="Buy",(J425-I425)/I425,(I425-J425)/I425))</f>
        <v/>
      </c>
      <c r="N425" s="25" t="str">
        <f aca="false">IF(OR(I425="",J425="",I425=G425),"",IF(E425="Buy",(J425-I425)/(I425-G425),(I425-J425)/(G425-I425)))</f>
        <v/>
      </c>
      <c r="O425" s="2" t="str">
        <f aca="false">IF(OR(B425="",K425=""),"",IFERROR(K425-B425,""))</f>
        <v/>
      </c>
      <c r="P425" s="2" t="str">
        <f aca="false">IF(M425="","",IF(M425&gt;0,1,0))</f>
        <v/>
      </c>
    </row>
    <row r="426" customFormat="false" ht="15" hidden="false" customHeight="false" outlineLevel="0" collapsed="false">
      <c r="M426" s="24" t="str">
        <f aca="false">IF(OR(I426="",J426=""),"",IF(E426="Buy",(J426-I426)/I426,(I426-J426)/I426))</f>
        <v/>
      </c>
      <c r="N426" s="25" t="str">
        <f aca="false">IF(OR(I426="",J426="",I426=G426),"",IF(E426="Buy",(J426-I426)/(I426-G426),(I426-J426)/(G426-I426)))</f>
        <v/>
      </c>
      <c r="O426" s="2" t="str">
        <f aca="false">IF(OR(B426="",K426=""),"",IFERROR(K426-B426,""))</f>
        <v/>
      </c>
      <c r="P426" s="2" t="str">
        <f aca="false">IF(M426="","",IF(M426&gt;0,1,0))</f>
        <v/>
      </c>
    </row>
    <row r="427" customFormat="false" ht="15" hidden="false" customHeight="false" outlineLevel="0" collapsed="false">
      <c r="M427" s="24" t="str">
        <f aca="false">IF(OR(I427="",J427=""),"",IF(E427="Buy",(J427-I427)/I427,(I427-J427)/I427))</f>
        <v/>
      </c>
      <c r="N427" s="25" t="str">
        <f aca="false">IF(OR(I427="",J427="",I427=G427),"",IF(E427="Buy",(J427-I427)/(I427-G427),(I427-J427)/(G427-I427)))</f>
        <v/>
      </c>
      <c r="O427" s="2" t="str">
        <f aca="false">IF(OR(B427="",K427=""),"",IFERROR(K427-B427,""))</f>
        <v/>
      </c>
      <c r="P427" s="2" t="str">
        <f aca="false">IF(M427="","",IF(M427&gt;0,1,0))</f>
        <v/>
      </c>
    </row>
    <row r="428" customFormat="false" ht="15" hidden="false" customHeight="false" outlineLevel="0" collapsed="false">
      <c r="M428" s="24" t="str">
        <f aca="false">IF(OR(I428="",J428=""),"",IF(E428="Buy",(J428-I428)/I428,(I428-J428)/I428))</f>
        <v/>
      </c>
      <c r="N428" s="25" t="str">
        <f aca="false">IF(OR(I428="",J428="",I428=G428),"",IF(E428="Buy",(J428-I428)/(I428-G428),(I428-J428)/(G428-I428)))</f>
        <v/>
      </c>
      <c r="O428" s="2" t="str">
        <f aca="false">IF(OR(B428="",K428=""),"",IFERROR(K428-B428,""))</f>
        <v/>
      </c>
      <c r="P428" s="2" t="str">
        <f aca="false">IF(M428="","",IF(M428&gt;0,1,0))</f>
        <v/>
      </c>
    </row>
    <row r="429" customFormat="false" ht="15" hidden="false" customHeight="false" outlineLevel="0" collapsed="false">
      <c r="M429" s="24" t="str">
        <f aca="false">IF(OR(I429="",J429=""),"",IF(E429="Buy",(J429-I429)/I429,(I429-J429)/I429))</f>
        <v/>
      </c>
      <c r="N429" s="25" t="str">
        <f aca="false">IF(OR(I429="",J429="",I429=G429),"",IF(E429="Buy",(J429-I429)/(I429-G429),(I429-J429)/(G429-I429)))</f>
        <v/>
      </c>
      <c r="O429" s="2" t="str">
        <f aca="false">IF(OR(B429="",K429=""),"",IFERROR(K429-B429,""))</f>
        <v/>
      </c>
      <c r="P429" s="2" t="str">
        <f aca="false">IF(M429="","",IF(M429&gt;0,1,0))</f>
        <v/>
      </c>
    </row>
    <row r="430" customFormat="false" ht="15" hidden="false" customHeight="false" outlineLevel="0" collapsed="false">
      <c r="M430" s="24" t="str">
        <f aca="false">IF(OR(I430="",J430=""),"",IF(E430="Buy",(J430-I430)/I430,(I430-J430)/I430))</f>
        <v/>
      </c>
      <c r="N430" s="25" t="str">
        <f aca="false">IF(OR(I430="",J430="",I430=G430),"",IF(E430="Buy",(J430-I430)/(I430-G430),(I430-J430)/(G430-I430)))</f>
        <v/>
      </c>
      <c r="O430" s="2" t="str">
        <f aca="false">IF(OR(B430="",K430=""),"",IFERROR(K430-B430,""))</f>
        <v/>
      </c>
      <c r="P430" s="2" t="str">
        <f aca="false">IF(M430="","",IF(M430&gt;0,1,0))</f>
        <v/>
      </c>
    </row>
    <row r="431" customFormat="false" ht="15" hidden="false" customHeight="false" outlineLevel="0" collapsed="false">
      <c r="M431" s="24" t="str">
        <f aca="false">IF(OR(I431="",J431=""),"",IF(E431="Buy",(J431-I431)/I431,(I431-J431)/I431))</f>
        <v/>
      </c>
      <c r="N431" s="25" t="str">
        <f aca="false">IF(OR(I431="",J431="",I431=G431),"",IF(E431="Buy",(J431-I431)/(I431-G431),(I431-J431)/(G431-I431)))</f>
        <v/>
      </c>
      <c r="O431" s="2" t="str">
        <f aca="false">IF(OR(B431="",K431=""),"",IFERROR(K431-B431,""))</f>
        <v/>
      </c>
      <c r="P431" s="2" t="str">
        <f aca="false">IF(M431="","",IF(M431&gt;0,1,0))</f>
        <v/>
      </c>
    </row>
    <row r="432" customFormat="false" ht="15" hidden="false" customHeight="false" outlineLevel="0" collapsed="false">
      <c r="M432" s="24" t="str">
        <f aca="false">IF(OR(I432="",J432=""),"",IF(E432="Buy",(J432-I432)/I432,(I432-J432)/I432))</f>
        <v/>
      </c>
      <c r="N432" s="25" t="str">
        <f aca="false">IF(OR(I432="",J432="",I432=G432),"",IF(E432="Buy",(J432-I432)/(I432-G432),(I432-J432)/(G432-I432)))</f>
        <v/>
      </c>
      <c r="O432" s="2" t="str">
        <f aca="false">IF(OR(B432="",K432=""),"",IFERROR(K432-B432,""))</f>
        <v/>
      </c>
      <c r="P432" s="2" t="str">
        <f aca="false">IF(M432="","",IF(M432&gt;0,1,0))</f>
        <v/>
      </c>
    </row>
    <row r="433" customFormat="false" ht="15" hidden="false" customHeight="false" outlineLevel="0" collapsed="false">
      <c r="M433" s="24" t="str">
        <f aca="false">IF(OR(I433="",J433=""),"",IF(E433="Buy",(J433-I433)/I433,(I433-J433)/I433))</f>
        <v/>
      </c>
      <c r="N433" s="25" t="str">
        <f aca="false">IF(OR(I433="",J433="",I433=G433),"",IF(E433="Buy",(J433-I433)/(I433-G433),(I433-J433)/(G433-I433)))</f>
        <v/>
      </c>
      <c r="O433" s="2" t="str">
        <f aca="false">IF(OR(B433="",K433=""),"",IFERROR(K433-B433,""))</f>
        <v/>
      </c>
      <c r="P433" s="2" t="str">
        <f aca="false">IF(M433="","",IF(M433&gt;0,1,0))</f>
        <v/>
      </c>
    </row>
    <row r="434" customFormat="false" ht="15" hidden="false" customHeight="false" outlineLevel="0" collapsed="false">
      <c r="M434" s="24" t="str">
        <f aca="false">IF(OR(I434="",J434=""),"",IF(E434="Buy",(J434-I434)/I434,(I434-J434)/I434))</f>
        <v/>
      </c>
      <c r="N434" s="25" t="str">
        <f aca="false">IF(OR(I434="",J434="",I434=G434),"",IF(E434="Buy",(J434-I434)/(I434-G434),(I434-J434)/(G434-I434)))</f>
        <v/>
      </c>
      <c r="O434" s="2" t="str">
        <f aca="false">IF(OR(B434="",K434=""),"",IFERROR(K434-B434,""))</f>
        <v/>
      </c>
      <c r="P434" s="2" t="str">
        <f aca="false">IF(M434="","",IF(M434&gt;0,1,0))</f>
        <v/>
      </c>
    </row>
    <row r="435" customFormat="false" ht="15" hidden="false" customHeight="false" outlineLevel="0" collapsed="false">
      <c r="M435" s="24" t="str">
        <f aca="false">IF(OR(I435="",J435=""),"",IF(E435="Buy",(J435-I435)/I435,(I435-J435)/I435))</f>
        <v/>
      </c>
      <c r="N435" s="25" t="str">
        <f aca="false">IF(OR(I435="",J435="",I435=G435),"",IF(E435="Buy",(J435-I435)/(I435-G435),(I435-J435)/(G435-I435)))</f>
        <v/>
      </c>
      <c r="O435" s="2" t="str">
        <f aca="false">IF(OR(B435="",K435=""),"",IFERROR(K435-B435,""))</f>
        <v/>
      </c>
      <c r="P435" s="2" t="str">
        <f aca="false">IF(M435="","",IF(M435&gt;0,1,0))</f>
        <v/>
      </c>
    </row>
    <row r="436" customFormat="false" ht="15" hidden="false" customHeight="false" outlineLevel="0" collapsed="false">
      <c r="M436" s="24" t="str">
        <f aca="false">IF(OR(I436="",J436=""),"",IF(E436="Buy",(J436-I436)/I436,(I436-J436)/I436))</f>
        <v/>
      </c>
      <c r="N436" s="25" t="str">
        <f aca="false">IF(OR(I436="",J436="",I436=G436),"",IF(E436="Buy",(J436-I436)/(I436-G436),(I436-J436)/(G436-I436)))</f>
        <v/>
      </c>
      <c r="O436" s="2" t="str">
        <f aca="false">IF(OR(B436="",K436=""),"",IFERROR(K436-B436,""))</f>
        <v/>
      </c>
      <c r="P436" s="2" t="str">
        <f aca="false">IF(M436="","",IF(M436&gt;0,1,0))</f>
        <v/>
      </c>
    </row>
    <row r="437" customFormat="false" ht="15" hidden="false" customHeight="false" outlineLevel="0" collapsed="false">
      <c r="M437" s="24" t="str">
        <f aca="false">IF(OR(I437="",J437=""),"",IF(E437="Buy",(J437-I437)/I437,(I437-J437)/I437))</f>
        <v/>
      </c>
      <c r="N437" s="25" t="str">
        <f aca="false">IF(OR(I437="",J437="",I437=G437),"",IF(E437="Buy",(J437-I437)/(I437-G437),(I437-J437)/(G437-I437)))</f>
        <v/>
      </c>
      <c r="O437" s="2" t="str">
        <f aca="false">IF(OR(B437="",K437=""),"",IFERROR(K437-B437,""))</f>
        <v/>
      </c>
      <c r="P437" s="2" t="str">
        <f aca="false">IF(M437="","",IF(M437&gt;0,1,0))</f>
        <v/>
      </c>
    </row>
    <row r="438" customFormat="false" ht="15" hidden="false" customHeight="false" outlineLevel="0" collapsed="false">
      <c r="M438" s="24" t="str">
        <f aca="false">IF(OR(I438="",J438=""),"",IF(E438="Buy",(J438-I438)/I438,(I438-J438)/I438))</f>
        <v/>
      </c>
      <c r="N438" s="25" t="str">
        <f aca="false">IF(OR(I438="",J438="",I438=G438),"",IF(E438="Buy",(J438-I438)/(I438-G438),(I438-J438)/(G438-I438)))</f>
        <v/>
      </c>
      <c r="O438" s="2" t="str">
        <f aca="false">IF(OR(B438="",K438=""),"",IFERROR(K438-B438,""))</f>
        <v/>
      </c>
      <c r="P438" s="2" t="str">
        <f aca="false">IF(M438="","",IF(M438&gt;0,1,0))</f>
        <v/>
      </c>
    </row>
    <row r="439" customFormat="false" ht="15" hidden="false" customHeight="false" outlineLevel="0" collapsed="false">
      <c r="M439" s="24" t="str">
        <f aca="false">IF(OR(I439="",J439=""),"",IF(E439="Buy",(J439-I439)/I439,(I439-J439)/I439))</f>
        <v/>
      </c>
      <c r="N439" s="25" t="str">
        <f aca="false">IF(OR(I439="",J439="",I439=G439),"",IF(E439="Buy",(J439-I439)/(I439-G439),(I439-J439)/(G439-I439)))</f>
        <v/>
      </c>
      <c r="O439" s="2" t="str">
        <f aca="false">IF(OR(B439="",K439=""),"",IFERROR(K439-B439,""))</f>
        <v/>
      </c>
      <c r="P439" s="2" t="str">
        <f aca="false">IF(M439="","",IF(M439&gt;0,1,0))</f>
        <v/>
      </c>
    </row>
    <row r="440" customFormat="false" ht="15" hidden="false" customHeight="false" outlineLevel="0" collapsed="false">
      <c r="M440" s="24" t="str">
        <f aca="false">IF(OR(I440="",J440=""),"",IF(E440="Buy",(J440-I440)/I440,(I440-J440)/I440))</f>
        <v/>
      </c>
      <c r="N440" s="25" t="str">
        <f aca="false">IF(OR(I440="",J440="",I440=G440),"",IF(E440="Buy",(J440-I440)/(I440-G440),(I440-J440)/(G440-I440)))</f>
        <v/>
      </c>
      <c r="O440" s="2" t="str">
        <f aca="false">IF(OR(B440="",K440=""),"",IFERROR(K440-B440,""))</f>
        <v/>
      </c>
      <c r="P440" s="2" t="str">
        <f aca="false">IF(M440="","",IF(M440&gt;0,1,0))</f>
        <v/>
      </c>
    </row>
    <row r="441" customFormat="false" ht="15" hidden="false" customHeight="false" outlineLevel="0" collapsed="false">
      <c r="M441" s="24" t="str">
        <f aca="false">IF(OR(I441="",J441=""),"",IF(E441="Buy",(J441-I441)/I441,(I441-J441)/I441))</f>
        <v/>
      </c>
      <c r="N441" s="25" t="str">
        <f aca="false">IF(OR(I441="",J441="",I441=G441),"",IF(E441="Buy",(J441-I441)/(I441-G441),(I441-J441)/(G441-I441)))</f>
        <v/>
      </c>
      <c r="O441" s="2" t="str">
        <f aca="false">IF(OR(B441="",K441=""),"",IFERROR(K441-B441,""))</f>
        <v/>
      </c>
      <c r="P441" s="2" t="str">
        <f aca="false">IF(M441="","",IF(M441&gt;0,1,0))</f>
        <v/>
      </c>
    </row>
    <row r="442" customFormat="false" ht="15" hidden="false" customHeight="false" outlineLevel="0" collapsed="false">
      <c r="M442" s="24" t="str">
        <f aca="false">IF(OR(I442="",J442=""),"",IF(E442="Buy",(J442-I442)/I442,(I442-J442)/I442))</f>
        <v/>
      </c>
      <c r="N442" s="25" t="str">
        <f aca="false">IF(OR(I442="",J442="",I442=G442),"",IF(E442="Buy",(J442-I442)/(I442-G442),(I442-J442)/(G442-I442)))</f>
        <v/>
      </c>
      <c r="O442" s="2" t="str">
        <f aca="false">IF(OR(B442="",K442=""),"",IFERROR(K442-B442,""))</f>
        <v/>
      </c>
      <c r="P442" s="2" t="str">
        <f aca="false">IF(M442="","",IF(M442&gt;0,1,0))</f>
        <v/>
      </c>
    </row>
    <row r="443" customFormat="false" ht="15" hidden="false" customHeight="false" outlineLevel="0" collapsed="false">
      <c r="M443" s="24" t="str">
        <f aca="false">IF(OR(I443="",J443=""),"",IF(E443="Buy",(J443-I443)/I443,(I443-J443)/I443))</f>
        <v/>
      </c>
      <c r="N443" s="25" t="str">
        <f aca="false">IF(OR(I443="",J443="",I443=G443),"",IF(E443="Buy",(J443-I443)/(I443-G443),(I443-J443)/(G443-I443)))</f>
        <v/>
      </c>
      <c r="O443" s="2" t="str">
        <f aca="false">IF(OR(B443="",K443=""),"",IFERROR(K443-B443,""))</f>
        <v/>
      </c>
      <c r="P443" s="2" t="str">
        <f aca="false">IF(M443="","",IF(M443&gt;0,1,0))</f>
        <v/>
      </c>
    </row>
    <row r="444" customFormat="false" ht="15" hidden="false" customHeight="false" outlineLevel="0" collapsed="false">
      <c r="M444" s="24" t="str">
        <f aca="false">IF(OR(I444="",J444=""),"",IF(E444="Buy",(J444-I444)/I444,(I444-J444)/I444))</f>
        <v/>
      </c>
      <c r="N444" s="25" t="str">
        <f aca="false">IF(OR(I444="",J444="",I444=G444),"",IF(E444="Buy",(J444-I444)/(I444-G444),(I444-J444)/(G444-I444)))</f>
        <v/>
      </c>
      <c r="O444" s="2" t="str">
        <f aca="false">IF(OR(B444="",K444=""),"",IFERROR(K444-B444,""))</f>
        <v/>
      </c>
      <c r="P444" s="2" t="str">
        <f aca="false">IF(M444="","",IF(M444&gt;0,1,0))</f>
        <v/>
      </c>
    </row>
    <row r="445" customFormat="false" ht="15" hidden="false" customHeight="false" outlineLevel="0" collapsed="false">
      <c r="M445" s="24" t="str">
        <f aca="false">IF(OR(I445="",J445=""),"",IF(E445="Buy",(J445-I445)/I445,(I445-J445)/I445))</f>
        <v/>
      </c>
      <c r="N445" s="25" t="str">
        <f aca="false">IF(OR(I445="",J445="",I445=G445),"",IF(E445="Buy",(J445-I445)/(I445-G445),(I445-J445)/(G445-I445)))</f>
        <v/>
      </c>
      <c r="O445" s="2" t="str">
        <f aca="false">IF(OR(B445="",K445=""),"",IFERROR(K445-B445,""))</f>
        <v/>
      </c>
      <c r="P445" s="2" t="str">
        <f aca="false">IF(M445="","",IF(M445&gt;0,1,0))</f>
        <v/>
      </c>
    </row>
    <row r="446" customFormat="false" ht="15" hidden="false" customHeight="false" outlineLevel="0" collapsed="false">
      <c r="M446" s="24" t="str">
        <f aca="false">IF(OR(I446="",J446=""),"",IF(E446="Buy",(J446-I446)/I446,(I446-J446)/I446))</f>
        <v/>
      </c>
      <c r="N446" s="25" t="str">
        <f aca="false">IF(OR(I446="",J446="",I446=G446),"",IF(E446="Buy",(J446-I446)/(I446-G446),(I446-J446)/(G446-I446)))</f>
        <v/>
      </c>
      <c r="O446" s="2" t="str">
        <f aca="false">IF(OR(B446="",K446=""),"",IFERROR(K446-B446,""))</f>
        <v/>
      </c>
      <c r="P446" s="2" t="str">
        <f aca="false">IF(M446="","",IF(M446&gt;0,1,0))</f>
        <v/>
      </c>
    </row>
    <row r="447" customFormat="false" ht="15" hidden="false" customHeight="false" outlineLevel="0" collapsed="false">
      <c r="M447" s="24" t="str">
        <f aca="false">IF(OR(I447="",J447=""),"",IF(E447="Buy",(J447-I447)/I447,(I447-J447)/I447))</f>
        <v/>
      </c>
      <c r="N447" s="25" t="str">
        <f aca="false">IF(OR(I447="",J447="",I447=G447),"",IF(E447="Buy",(J447-I447)/(I447-G447),(I447-J447)/(G447-I447)))</f>
        <v/>
      </c>
      <c r="O447" s="2" t="str">
        <f aca="false">IF(OR(B447="",K447=""),"",IFERROR(K447-B447,""))</f>
        <v/>
      </c>
      <c r="P447" s="2" t="str">
        <f aca="false">IF(M447="","",IF(M447&gt;0,1,0))</f>
        <v/>
      </c>
    </row>
    <row r="448" customFormat="false" ht="15" hidden="false" customHeight="false" outlineLevel="0" collapsed="false">
      <c r="M448" s="24" t="str">
        <f aca="false">IF(OR(I448="",J448=""),"",IF(E448="Buy",(J448-I448)/I448,(I448-J448)/I448))</f>
        <v/>
      </c>
      <c r="N448" s="25" t="str">
        <f aca="false">IF(OR(I448="",J448="",I448=G448),"",IF(E448="Buy",(J448-I448)/(I448-G448),(I448-J448)/(G448-I448)))</f>
        <v/>
      </c>
      <c r="O448" s="2" t="str">
        <f aca="false">IF(OR(B448="",K448=""),"",IFERROR(K448-B448,""))</f>
        <v/>
      </c>
      <c r="P448" s="2" t="str">
        <f aca="false">IF(M448="","",IF(M448&gt;0,1,0))</f>
        <v/>
      </c>
    </row>
    <row r="449" customFormat="false" ht="15" hidden="false" customHeight="false" outlineLevel="0" collapsed="false">
      <c r="M449" s="24" t="str">
        <f aca="false">IF(OR(I449="",J449=""),"",IF(E449="Buy",(J449-I449)/I449,(I449-J449)/I449))</f>
        <v/>
      </c>
      <c r="N449" s="25" t="str">
        <f aca="false">IF(OR(I449="",J449="",I449=G449),"",IF(E449="Buy",(J449-I449)/(I449-G449),(I449-J449)/(G449-I449)))</f>
        <v/>
      </c>
      <c r="O449" s="2" t="str">
        <f aca="false">IF(OR(B449="",K449=""),"",IFERROR(K449-B449,""))</f>
        <v/>
      </c>
      <c r="P449" s="2" t="str">
        <f aca="false">IF(M449="","",IF(M449&gt;0,1,0))</f>
        <v/>
      </c>
    </row>
    <row r="450" customFormat="false" ht="15" hidden="false" customHeight="false" outlineLevel="0" collapsed="false">
      <c r="M450" s="24" t="str">
        <f aca="false">IF(OR(I450="",J450=""),"",IF(E450="Buy",(J450-I450)/I450,(I450-J450)/I450))</f>
        <v/>
      </c>
      <c r="N450" s="25" t="str">
        <f aca="false">IF(OR(I450="",J450="",I450=G450),"",IF(E450="Buy",(J450-I450)/(I450-G450),(I450-J450)/(G450-I450)))</f>
        <v/>
      </c>
      <c r="O450" s="2" t="str">
        <f aca="false">IF(OR(B450="",K450=""),"",IFERROR(K450-B450,""))</f>
        <v/>
      </c>
      <c r="P450" s="2" t="str">
        <f aca="false">IF(M450="","",IF(M450&gt;0,1,0))</f>
        <v/>
      </c>
    </row>
    <row r="451" customFormat="false" ht="15" hidden="false" customHeight="false" outlineLevel="0" collapsed="false">
      <c r="M451" s="24" t="str">
        <f aca="false">IF(OR(I451="",J451=""),"",IF(E451="Buy",(J451-I451)/I451,(I451-J451)/I451))</f>
        <v/>
      </c>
      <c r="N451" s="25" t="str">
        <f aca="false">IF(OR(I451="",J451="",I451=G451),"",IF(E451="Buy",(J451-I451)/(I451-G451),(I451-J451)/(G451-I451)))</f>
        <v/>
      </c>
      <c r="O451" s="2" t="str">
        <f aca="false">IF(OR(B451="",K451=""),"",IFERROR(K451-B451,""))</f>
        <v/>
      </c>
      <c r="P451" s="2" t="str">
        <f aca="false">IF(M451="","",IF(M451&gt;0,1,0))</f>
        <v/>
      </c>
    </row>
    <row r="452" customFormat="false" ht="15" hidden="false" customHeight="false" outlineLevel="0" collapsed="false">
      <c r="M452" s="24" t="str">
        <f aca="false">IF(OR(I452="",J452=""),"",IF(E452="Buy",(J452-I452)/I452,(I452-J452)/I452))</f>
        <v/>
      </c>
      <c r="N452" s="25" t="str">
        <f aca="false">IF(OR(I452="",J452="",I452=G452),"",IF(E452="Buy",(J452-I452)/(I452-G452),(I452-J452)/(G452-I452)))</f>
        <v/>
      </c>
      <c r="O452" s="2" t="str">
        <f aca="false">IF(OR(B452="",K452=""),"",IFERROR(K452-B452,""))</f>
        <v/>
      </c>
      <c r="P452" s="2" t="str">
        <f aca="false">IF(M452="","",IF(M452&gt;0,1,0))</f>
        <v/>
      </c>
    </row>
    <row r="453" customFormat="false" ht="15" hidden="false" customHeight="false" outlineLevel="0" collapsed="false">
      <c r="M453" s="24" t="str">
        <f aca="false">IF(OR(I453="",J453=""),"",IF(E453="Buy",(J453-I453)/I453,(I453-J453)/I453))</f>
        <v/>
      </c>
      <c r="N453" s="25" t="str">
        <f aca="false">IF(OR(I453="",J453="",I453=G453),"",IF(E453="Buy",(J453-I453)/(I453-G453),(I453-J453)/(G453-I453)))</f>
        <v/>
      </c>
      <c r="O453" s="2" t="str">
        <f aca="false">IF(OR(B453="",K453=""),"",IFERROR(K453-B453,""))</f>
        <v/>
      </c>
      <c r="P453" s="2" t="str">
        <f aca="false">IF(M453="","",IF(M453&gt;0,1,0))</f>
        <v/>
      </c>
    </row>
    <row r="454" customFormat="false" ht="15" hidden="false" customHeight="false" outlineLevel="0" collapsed="false">
      <c r="M454" s="24" t="str">
        <f aca="false">IF(OR(I454="",J454=""),"",IF(E454="Buy",(J454-I454)/I454,(I454-J454)/I454))</f>
        <v/>
      </c>
      <c r="N454" s="25" t="str">
        <f aca="false">IF(OR(I454="",J454="",I454=G454),"",IF(E454="Buy",(J454-I454)/(I454-G454),(I454-J454)/(G454-I454)))</f>
        <v/>
      </c>
      <c r="O454" s="2" t="str">
        <f aca="false">IF(OR(B454="",K454=""),"",IFERROR(K454-B454,""))</f>
        <v/>
      </c>
      <c r="P454" s="2" t="str">
        <f aca="false">IF(M454="","",IF(M454&gt;0,1,0))</f>
        <v/>
      </c>
    </row>
    <row r="455" customFormat="false" ht="15" hidden="false" customHeight="false" outlineLevel="0" collapsed="false">
      <c r="M455" s="24" t="str">
        <f aca="false">IF(OR(I455="",J455=""),"",IF(E455="Buy",(J455-I455)/I455,(I455-J455)/I455))</f>
        <v/>
      </c>
      <c r="N455" s="25" t="str">
        <f aca="false">IF(OR(I455="",J455="",I455=G455),"",IF(E455="Buy",(J455-I455)/(I455-G455),(I455-J455)/(G455-I455)))</f>
        <v/>
      </c>
      <c r="O455" s="2" t="str">
        <f aca="false">IF(OR(B455="",K455=""),"",IFERROR(K455-B455,""))</f>
        <v/>
      </c>
      <c r="P455" s="2" t="str">
        <f aca="false">IF(M455="","",IF(M455&gt;0,1,0))</f>
        <v/>
      </c>
    </row>
    <row r="456" customFormat="false" ht="15" hidden="false" customHeight="false" outlineLevel="0" collapsed="false">
      <c r="M456" s="24" t="str">
        <f aca="false">IF(OR(I456="",J456=""),"",IF(E456="Buy",(J456-I456)/I456,(I456-J456)/I456))</f>
        <v/>
      </c>
      <c r="N456" s="25" t="str">
        <f aca="false">IF(OR(I456="",J456="",I456=G456),"",IF(E456="Buy",(J456-I456)/(I456-G456),(I456-J456)/(G456-I456)))</f>
        <v/>
      </c>
      <c r="O456" s="2" t="str">
        <f aca="false">IF(OR(B456="",K456=""),"",IFERROR(K456-B456,""))</f>
        <v/>
      </c>
      <c r="P456" s="2" t="str">
        <f aca="false">IF(M456="","",IF(M456&gt;0,1,0))</f>
        <v/>
      </c>
    </row>
    <row r="457" customFormat="false" ht="15" hidden="false" customHeight="false" outlineLevel="0" collapsed="false">
      <c r="M457" s="24" t="str">
        <f aca="false">IF(OR(I457="",J457=""),"",IF(E457="Buy",(J457-I457)/I457,(I457-J457)/I457))</f>
        <v/>
      </c>
      <c r="N457" s="25" t="str">
        <f aca="false">IF(OR(I457="",J457="",I457=G457),"",IF(E457="Buy",(J457-I457)/(I457-G457),(I457-J457)/(G457-I457)))</f>
        <v/>
      </c>
      <c r="O457" s="2" t="str">
        <f aca="false">IF(OR(B457="",K457=""),"",IFERROR(K457-B457,""))</f>
        <v/>
      </c>
      <c r="P457" s="2" t="str">
        <f aca="false">IF(M457="","",IF(M457&gt;0,1,0))</f>
        <v/>
      </c>
    </row>
    <row r="458" customFormat="false" ht="15" hidden="false" customHeight="false" outlineLevel="0" collapsed="false">
      <c r="M458" s="24" t="str">
        <f aca="false">IF(OR(I458="",J458=""),"",IF(E458="Buy",(J458-I458)/I458,(I458-J458)/I458))</f>
        <v/>
      </c>
      <c r="N458" s="25" t="str">
        <f aca="false">IF(OR(I458="",J458="",I458=G458),"",IF(E458="Buy",(J458-I458)/(I458-G458),(I458-J458)/(G458-I458)))</f>
        <v/>
      </c>
      <c r="O458" s="2" t="str">
        <f aca="false">IF(OR(B458="",K458=""),"",IFERROR(K458-B458,""))</f>
        <v/>
      </c>
      <c r="P458" s="2" t="str">
        <f aca="false">IF(M458="","",IF(M458&gt;0,1,0))</f>
        <v/>
      </c>
    </row>
    <row r="459" customFormat="false" ht="15" hidden="false" customHeight="false" outlineLevel="0" collapsed="false">
      <c r="M459" s="24" t="str">
        <f aca="false">IF(OR(I459="",J459=""),"",IF(E459="Buy",(J459-I459)/I459,(I459-J459)/I459))</f>
        <v/>
      </c>
      <c r="N459" s="25" t="str">
        <f aca="false">IF(OR(I459="",J459="",I459=G459),"",IF(E459="Buy",(J459-I459)/(I459-G459),(I459-J459)/(G459-I459)))</f>
        <v/>
      </c>
      <c r="O459" s="2" t="str">
        <f aca="false">IF(OR(B459="",K459=""),"",IFERROR(K459-B459,""))</f>
        <v/>
      </c>
      <c r="P459" s="2" t="str">
        <f aca="false">IF(M459="","",IF(M459&gt;0,1,0))</f>
        <v/>
      </c>
    </row>
    <row r="460" customFormat="false" ht="15" hidden="false" customHeight="false" outlineLevel="0" collapsed="false">
      <c r="M460" s="24" t="str">
        <f aca="false">IF(OR(I460="",J460=""),"",IF(E460="Buy",(J460-I460)/I460,(I460-J460)/I460))</f>
        <v/>
      </c>
      <c r="N460" s="25" t="str">
        <f aca="false">IF(OR(I460="",J460="",I460=G460),"",IF(E460="Buy",(J460-I460)/(I460-G460),(I460-J460)/(G460-I460)))</f>
        <v/>
      </c>
      <c r="O460" s="2" t="str">
        <f aca="false">IF(OR(B460="",K460=""),"",IFERROR(K460-B460,""))</f>
        <v/>
      </c>
      <c r="P460" s="2" t="str">
        <f aca="false">IF(M460="","",IF(M460&gt;0,1,0))</f>
        <v/>
      </c>
    </row>
    <row r="461" customFormat="false" ht="15" hidden="false" customHeight="false" outlineLevel="0" collapsed="false">
      <c r="M461" s="24" t="str">
        <f aca="false">IF(OR(I461="",J461=""),"",IF(E461="Buy",(J461-I461)/I461,(I461-J461)/I461))</f>
        <v/>
      </c>
      <c r="N461" s="25" t="str">
        <f aca="false">IF(OR(I461="",J461="",I461=G461),"",IF(E461="Buy",(J461-I461)/(I461-G461),(I461-J461)/(G461-I461)))</f>
        <v/>
      </c>
      <c r="O461" s="2" t="str">
        <f aca="false">IF(OR(B461="",K461=""),"",IFERROR(K461-B461,""))</f>
        <v/>
      </c>
      <c r="P461" s="2" t="str">
        <f aca="false">IF(M461="","",IF(M461&gt;0,1,0))</f>
        <v/>
      </c>
    </row>
    <row r="462" customFormat="false" ht="15" hidden="false" customHeight="false" outlineLevel="0" collapsed="false">
      <c r="M462" s="24" t="str">
        <f aca="false">IF(OR(I462="",J462=""),"",IF(E462="Buy",(J462-I462)/I462,(I462-J462)/I462))</f>
        <v/>
      </c>
      <c r="N462" s="25" t="str">
        <f aca="false">IF(OR(I462="",J462="",I462=G462),"",IF(E462="Buy",(J462-I462)/(I462-G462),(I462-J462)/(G462-I462)))</f>
        <v/>
      </c>
      <c r="O462" s="2" t="str">
        <f aca="false">IF(OR(B462="",K462=""),"",IFERROR(K462-B462,""))</f>
        <v/>
      </c>
      <c r="P462" s="2" t="str">
        <f aca="false">IF(M462="","",IF(M462&gt;0,1,0))</f>
        <v/>
      </c>
    </row>
    <row r="463" customFormat="false" ht="15" hidden="false" customHeight="false" outlineLevel="0" collapsed="false">
      <c r="M463" s="24" t="str">
        <f aca="false">IF(OR(I463="",J463=""),"",IF(E463="Buy",(J463-I463)/I463,(I463-J463)/I463))</f>
        <v/>
      </c>
      <c r="N463" s="25" t="str">
        <f aca="false">IF(OR(I463="",J463="",I463=G463),"",IF(E463="Buy",(J463-I463)/(I463-G463),(I463-J463)/(G463-I463)))</f>
        <v/>
      </c>
      <c r="O463" s="2" t="str">
        <f aca="false">IF(OR(B463="",K463=""),"",IFERROR(K463-B463,""))</f>
        <v/>
      </c>
      <c r="P463" s="2" t="str">
        <f aca="false">IF(M463="","",IF(M463&gt;0,1,0))</f>
        <v/>
      </c>
    </row>
    <row r="464" customFormat="false" ht="15" hidden="false" customHeight="false" outlineLevel="0" collapsed="false">
      <c r="M464" s="24" t="str">
        <f aca="false">IF(OR(I464="",J464=""),"",IF(E464="Buy",(J464-I464)/I464,(I464-J464)/I464))</f>
        <v/>
      </c>
      <c r="N464" s="25" t="str">
        <f aca="false">IF(OR(I464="",J464="",I464=G464),"",IF(E464="Buy",(J464-I464)/(I464-G464),(I464-J464)/(G464-I464)))</f>
        <v/>
      </c>
      <c r="O464" s="2" t="str">
        <f aca="false">IF(OR(B464="",K464=""),"",IFERROR(K464-B464,""))</f>
        <v/>
      </c>
      <c r="P464" s="2" t="str">
        <f aca="false">IF(M464="","",IF(M464&gt;0,1,0))</f>
        <v/>
      </c>
    </row>
    <row r="465" customFormat="false" ht="15" hidden="false" customHeight="false" outlineLevel="0" collapsed="false">
      <c r="M465" s="24" t="str">
        <f aca="false">IF(OR(I465="",J465=""),"",IF(E465="Buy",(J465-I465)/I465,(I465-J465)/I465))</f>
        <v/>
      </c>
      <c r="N465" s="25" t="str">
        <f aca="false">IF(OR(I465="",J465="",I465=G465),"",IF(E465="Buy",(J465-I465)/(I465-G465),(I465-J465)/(G465-I465)))</f>
        <v/>
      </c>
      <c r="O465" s="2" t="str">
        <f aca="false">IF(OR(B465="",K465=""),"",IFERROR(K465-B465,""))</f>
        <v/>
      </c>
      <c r="P465" s="2" t="str">
        <f aca="false">IF(M465="","",IF(M465&gt;0,1,0))</f>
        <v/>
      </c>
    </row>
    <row r="466" customFormat="false" ht="15" hidden="false" customHeight="false" outlineLevel="0" collapsed="false">
      <c r="M466" s="24" t="str">
        <f aca="false">IF(OR(I466="",J466=""),"",IF(E466="Buy",(J466-I466)/I466,(I466-J466)/I466))</f>
        <v/>
      </c>
      <c r="N466" s="25" t="str">
        <f aca="false">IF(OR(I466="",J466="",I466=G466),"",IF(E466="Buy",(J466-I466)/(I466-G466),(I466-J466)/(G466-I466)))</f>
        <v/>
      </c>
      <c r="O466" s="2" t="str">
        <f aca="false">IF(OR(B466="",K466=""),"",IFERROR(K466-B466,""))</f>
        <v/>
      </c>
      <c r="P466" s="2" t="str">
        <f aca="false">IF(M466="","",IF(M466&gt;0,1,0))</f>
        <v/>
      </c>
    </row>
    <row r="467" customFormat="false" ht="15" hidden="false" customHeight="false" outlineLevel="0" collapsed="false">
      <c r="M467" s="24" t="str">
        <f aca="false">IF(OR(I467="",J467=""),"",IF(E467="Buy",(J467-I467)/I467,(I467-J467)/I467))</f>
        <v/>
      </c>
      <c r="N467" s="25" t="str">
        <f aca="false">IF(OR(I467="",J467="",I467=G467),"",IF(E467="Buy",(J467-I467)/(I467-G467),(I467-J467)/(G467-I467)))</f>
        <v/>
      </c>
      <c r="O467" s="2" t="str">
        <f aca="false">IF(OR(B467="",K467=""),"",IFERROR(K467-B467,""))</f>
        <v/>
      </c>
      <c r="P467" s="2" t="str">
        <f aca="false">IF(M467="","",IF(M467&gt;0,1,0))</f>
        <v/>
      </c>
    </row>
    <row r="468" customFormat="false" ht="15" hidden="false" customHeight="false" outlineLevel="0" collapsed="false">
      <c r="M468" s="24" t="str">
        <f aca="false">IF(OR(I468="",J468=""),"",IF(E468="Buy",(J468-I468)/I468,(I468-J468)/I468))</f>
        <v/>
      </c>
      <c r="N468" s="25" t="str">
        <f aca="false">IF(OR(I468="",J468="",I468=G468),"",IF(E468="Buy",(J468-I468)/(I468-G468),(I468-J468)/(G468-I468)))</f>
        <v/>
      </c>
      <c r="O468" s="2" t="str">
        <f aca="false">IF(OR(B468="",K468=""),"",IFERROR(K468-B468,""))</f>
        <v/>
      </c>
      <c r="P468" s="2" t="str">
        <f aca="false">IF(M468="","",IF(M468&gt;0,1,0))</f>
        <v/>
      </c>
    </row>
    <row r="469" customFormat="false" ht="15" hidden="false" customHeight="false" outlineLevel="0" collapsed="false">
      <c r="M469" s="24" t="str">
        <f aca="false">IF(OR(I469="",J469=""),"",IF(E469="Buy",(J469-I469)/I469,(I469-J469)/I469))</f>
        <v/>
      </c>
      <c r="N469" s="25" t="str">
        <f aca="false">IF(OR(I469="",J469="",I469=G469),"",IF(E469="Buy",(J469-I469)/(I469-G469),(I469-J469)/(G469-I469)))</f>
        <v/>
      </c>
      <c r="O469" s="2" t="str">
        <f aca="false">IF(OR(B469="",K469=""),"",IFERROR(K469-B469,""))</f>
        <v/>
      </c>
      <c r="P469" s="2" t="str">
        <f aca="false">IF(M469="","",IF(M469&gt;0,1,0))</f>
        <v/>
      </c>
    </row>
    <row r="470" customFormat="false" ht="15" hidden="false" customHeight="false" outlineLevel="0" collapsed="false">
      <c r="M470" s="24" t="str">
        <f aca="false">IF(OR(I470="",J470=""),"",IF(E470="Buy",(J470-I470)/I470,(I470-J470)/I470))</f>
        <v/>
      </c>
      <c r="N470" s="25" t="str">
        <f aca="false">IF(OR(I470="",J470="",I470=G470),"",IF(E470="Buy",(J470-I470)/(I470-G470),(I470-J470)/(G470-I470)))</f>
        <v/>
      </c>
      <c r="O470" s="2" t="str">
        <f aca="false">IF(OR(B470="",K470=""),"",IFERROR(K470-B470,""))</f>
        <v/>
      </c>
      <c r="P470" s="2" t="str">
        <f aca="false">IF(M470="","",IF(M470&gt;0,1,0))</f>
        <v/>
      </c>
    </row>
    <row r="471" customFormat="false" ht="15" hidden="false" customHeight="false" outlineLevel="0" collapsed="false">
      <c r="M471" s="24" t="str">
        <f aca="false">IF(OR(I471="",J471=""),"",IF(E471="Buy",(J471-I471)/I471,(I471-J471)/I471))</f>
        <v/>
      </c>
      <c r="N471" s="25" t="str">
        <f aca="false">IF(OR(I471="",J471="",I471=G471),"",IF(E471="Buy",(J471-I471)/(I471-G471),(I471-J471)/(G471-I471)))</f>
        <v/>
      </c>
      <c r="O471" s="2" t="str">
        <f aca="false">IF(OR(B471="",K471=""),"",IFERROR(K471-B471,""))</f>
        <v/>
      </c>
      <c r="P471" s="2" t="str">
        <f aca="false">IF(M471="","",IF(M471&gt;0,1,0))</f>
        <v/>
      </c>
    </row>
    <row r="472" customFormat="false" ht="15" hidden="false" customHeight="false" outlineLevel="0" collapsed="false">
      <c r="M472" s="24" t="str">
        <f aca="false">IF(OR(I472="",J472=""),"",IF(E472="Buy",(J472-I472)/I472,(I472-J472)/I472))</f>
        <v/>
      </c>
      <c r="N472" s="25" t="str">
        <f aca="false">IF(OR(I472="",J472="",I472=G472),"",IF(E472="Buy",(J472-I472)/(I472-G472),(I472-J472)/(G472-I472)))</f>
        <v/>
      </c>
      <c r="O472" s="2" t="str">
        <f aca="false">IF(OR(B472="",K472=""),"",IFERROR(K472-B472,""))</f>
        <v/>
      </c>
      <c r="P472" s="2" t="str">
        <f aca="false">IF(M472="","",IF(M472&gt;0,1,0))</f>
        <v/>
      </c>
    </row>
    <row r="473" customFormat="false" ht="15" hidden="false" customHeight="false" outlineLevel="0" collapsed="false">
      <c r="M473" s="24" t="str">
        <f aca="false">IF(OR(I473="",J473=""),"",IF(E473="Buy",(J473-I473)/I473,(I473-J473)/I473))</f>
        <v/>
      </c>
      <c r="N473" s="25" t="str">
        <f aca="false">IF(OR(I473="",J473="",I473=G473),"",IF(E473="Buy",(J473-I473)/(I473-G473),(I473-J473)/(G473-I473)))</f>
        <v/>
      </c>
      <c r="O473" s="2" t="str">
        <f aca="false">IF(OR(B473="",K473=""),"",IFERROR(K473-B473,""))</f>
        <v/>
      </c>
      <c r="P473" s="2" t="str">
        <f aca="false">IF(M473="","",IF(M473&gt;0,1,0))</f>
        <v/>
      </c>
    </row>
    <row r="474" customFormat="false" ht="15" hidden="false" customHeight="false" outlineLevel="0" collapsed="false">
      <c r="M474" s="24" t="str">
        <f aca="false">IF(OR(I474="",J474=""),"",IF(E474="Buy",(J474-I474)/I474,(I474-J474)/I474))</f>
        <v/>
      </c>
      <c r="N474" s="25" t="str">
        <f aca="false">IF(OR(I474="",J474="",I474=G474),"",IF(E474="Buy",(J474-I474)/(I474-G474),(I474-J474)/(G474-I474)))</f>
        <v/>
      </c>
      <c r="O474" s="2" t="str">
        <f aca="false">IF(OR(B474="",K474=""),"",IFERROR(K474-B474,""))</f>
        <v/>
      </c>
      <c r="P474" s="2" t="str">
        <f aca="false">IF(M474="","",IF(M474&gt;0,1,0))</f>
        <v/>
      </c>
    </row>
    <row r="475" customFormat="false" ht="15" hidden="false" customHeight="false" outlineLevel="0" collapsed="false">
      <c r="M475" s="24" t="str">
        <f aca="false">IF(OR(I475="",J475=""),"",IF(E475="Buy",(J475-I475)/I475,(I475-J475)/I475))</f>
        <v/>
      </c>
      <c r="N475" s="25" t="str">
        <f aca="false">IF(OR(I475="",J475="",I475=G475),"",IF(E475="Buy",(J475-I475)/(I475-G475),(I475-J475)/(G475-I475)))</f>
        <v/>
      </c>
      <c r="O475" s="2" t="str">
        <f aca="false">IF(OR(B475="",K475=""),"",IFERROR(K475-B475,""))</f>
        <v/>
      </c>
      <c r="P475" s="2" t="str">
        <f aca="false">IF(M475="","",IF(M475&gt;0,1,0))</f>
        <v/>
      </c>
    </row>
    <row r="476" customFormat="false" ht="15" hidden="false" customHeight="false" outlineLevel="0" collapsed="false">
      <c r="M476" s="24" t="str">
        <f aca="false">IF(OR(I476="",J476=""),"",IF(E476="Buy",(J476-I476)/I476,(I476-J476)/I476))</f>
        <v/>
      </c>
      <c r="N476" s="25" t="str">
        <f aca="false">IF(OR(I476="",J476="",I476=G476),"",IF(E476="Buy",(J476-I476)/(I476-G476),(I476-J476)/(G476-I476)))</f>
        <v/>
      </c>
      <c r="O476" s="2" t="str">
        <f aca="false">IF(OR(B476="",K476=""),"",IFERROR(K476-B476,""))</f>
        <v/>
      </c>
      <c r="P476" s="2" t="str">
        <f aca="false">IF(M476="","",IF(M476&gt;0,1,0))</f>
        <v/>
      </c>
    </row>
    <row r="477" customFormat="false" ht="15" hidden="false" customHeight="false" outlineLevel="0" collapsed="false">
      <c r="M477" s="24" t="str">
        <f aca="false">IF(OR(I477="",J477=""),"",IF(E477="Buy",(J477-I477)/I477,(I477-J477)/I477))</f>
        <v/>
      </c>
      <c r="N477" s="25" t="str">
        <f aca="false">IF(OR(I477="",J477="",I477=G477),"",IF(E477="Buy",(J477-I477)/(I477-G477),(I477-J477)/(G477-I477)))</f>
        <v/>
      </c>
      <c r="O477" s="2" t="str">
        <f aca="false">IF(OR(B477="",K477=""),"",IFERROR(K477-B477,""))</f>
        <v/>
      </c>
      <c r="P477" s="2" t="str">
        <f aca="false">IF(M477="","",IF(M477&gt;0,1,0))</f>
        <v/>
      </c>
    </row>
    <row r="478" customFormat="false" ht="15" hidden="false" customHeight="false" outlineLevel="0" collapsed="false">
      <c r="M478" s="24" t="str">
        <f aca="false">IF(OR(I478="",J478=""),"",IF(E478="Buy",(J478-I478)/I478,(I478-J478)/I478))</f>
        <v/>
      </c>
      <c r="N478" s="25" t="str">
        <f aca="false">IF(OR(I478="",J478="",I478=G478),"",IF(E478="Buy",(J478-I478)/(I478-G478),(I478-J478)/(G478-I478)))</f>
        <v/>
      </c>
      <c r="O478" s="2" t="str">
        <f aca="false">IF(OR(B478="",K478=""),"",IFERROR(K478-B478,""))</f>
        <v/>
      </c>
      <c r="P478" s="2" t="str">
        <f aca="false">IF(M478="","",IF(M478&gt;0,1,0))</f>
        <v/>
      </c>
    </row>
    <row r="479" customFormat="false" ht="15" hidden="false" customHeight="false" outlineLevel="0" collapsed="false">
      <c r="M479" s="24" t="str">
        <f aca="false">IF(OR(I479="",J479=""),"",IF(E479="Buy",(J479-I479)/I479,(I479-J479)/I479))</f>
        <v/>
      </c>
      <c r="N479" s="25" t="str">
        <f aca="false">IF(OR(I479="",J479="",I479=G479),"",IF(E479="Buy",(J479-I479)/(I479-G479),(I479-J479)/(G479-I479)))</f>
        <v/>
      </c>
      <c r="O479" s="2" t="str">
        <f aca="false">IF(OR(B479="",K479=""),"",IFERROR(K479-B479,""))</f>
        <v/>
      </c>
      <c r="P479" s="2" t="str">
        <f aca="false">IF(M479="","",IF(M479&gt;0,1,0))</f>
        <v/>
      </c>
    </row>
    <row r="480" customFormat="false" ht="15" hidden="false" customHeight="false" outlineLevel="0" collapsed="false">
      <c r="M480" s="24" t="str">
        <f aca="false">IF(OR(I480="",J480=""),"",IF(E480="Buy",(J480-I480)/I480,(I480-J480)/I480))</f>
        <v/>
      </c>
      <c r="N480" s="25" t="str">
        <f aca="false">IF(OR(I480="",J480="",I480=G480),"",IF(E480="Buy",(J480-I480)/(I480-G480),(I480-J480)/(G480-I480)))</f>
        <v/>
      </c>
      <c r="O480" s="2" t="str">
        <f aca="false">IF(OR(B480="",K480=""),"",IFERROR(K480-B480,""))</f>
        <v/>
      </c>
      <c r="P480" s="2" t="str">
        <f aca="false">IF(M480="","",IF(M480&gt;0,1,0))</f>
        <v/>
      </c>
    </row>
    <row r="481" customFormat="false" ht="15" hidden="false" customHeight="false" outlineLevel="0" collapsed="false">
      <c r="M481" s="24" t="str">
        <f aca="false">IF(OR(I481="",J481=""),"",IF(E481="Buy",(J481-I481)/I481,(I481-J481)/I481))</f>
        <v/>
      </c>
      <c r="N481" s="25" t="str">
        <f aca="false">IF(OR(I481="",J481="",I481=G481),"",IF(E481="Buy",(J481-I481)/(I481-G481),(I481-J481)/(G481-I481)))</f>
        <v/>
      </c>
      <c r="O481" s="2" t="str">
        <f aca="false">IF(OR(B481="",K481=""),"",IFERROR(K481-B481,""))</f>
        <v/>
      </c>
      <c r="P481" s="2" t="str">
        <f aca="false">IF(M481="","",IF(M481&gt;0,1,0))</f>
        <v/>
      </c>
    </row>
    <row r="482" customFormat="false" ht="15" hidden="false" customHeight="false" outlineLevel="0" collapsed="false">
      <c r="M482" s="24" t="str">
        <f aca="false">IF(OR(I482="",J482=""),"",IF(E482="Buy",(J482-I482)/I482,(I482-J482)/I482))</f>
        <v/>
      </c>
      <c r="N482" s="25" t="str">
        <f aca="false">IF(OR(I482="",J482="",I482=G482),"",IF(E482="Buy",(J482-I482)/(I482-G482),(I482-J482)/(G482-I482)))</f>
        <v/>
      </c>
      <c r="O482" s="2" t="str">
        <f aca="false">IF(OR(B482="",K482=""),"",IFERROR(K482-B482,""))</f>
        <v/>
      </c>
      <c r="P482" s="2" t="str">
        <f aca="false">IF(M482="","",IF(M482&gt;0,1,0))</f>
        <v/>
      </c>
    </row>
    <row r="483" customFormat="false" ht="15" hidden="false" customHeight="false" outlineLevel="0" collapsed="false">
      <c r="M483" s="24" t="str">
        <f aca="false">IF(OR(I483="",J483=""),"",IF(E483="Buy",(J483-I483)/I483,(I483-J483)/I483))</f>
        <v/>
      </c>
      <c r="N483" s="25" t="str">
        <f aca="false">IF(OR(I483="",J483="",I483=G483),"",IF(E483="Buy",(J483-I483)/(I483-G483),(I483-J483)/(G483-I483)))</f>
        <v/>
      </c>
      <c r="O483" s="2" t="str">
        <f aca="false">IF(OR(B483="",K483=""),"",IFERROR(K483-B483,""))</f>
        <v/>
      </c>
      <c r="P483" s="2" t="str">
        <f aca="false">IF(M483="","",IF(M483&gt;0,1,0))</f>
        <v/>
      </c>
    </row>
    <row r="484" customFormat="false" ht="15" hidden="false" customHeight="false" outlineLevel="0" collapsed="false">
      <c r="M484" s="24" t="str">
        <f aca="false">IF(OR(I484="",J484=""),"",IF(E484="Buy",(J484-I484)/I484,(I484-J484)/I484))</f>
        <v/>
      </c>
      <c r="N484" s="25" t="str">
        <f aca="false">IF(OR(I484="",J484="",I484=G484),"",IF(E484="Buy",(J484-I484)/(I484-G484),(I484-J484)/(G484-I484)))</f>
        <v/>
      </c>
      <c r="O484" s="2" t="str">
        <f aca="false">IF(OR(B484="",K484=""),"",IFERROR(K484-B484,""))</f>
        <v/>
      </c>
      <c r="P484" s="2" t="str">
        <f aca="false">IF(M484="","",IF(M484&gt;0,1,0))</f>
        <v/>
      </c>
    </row>
    <row r="485" customFormat="false" ht="15" hidden="false" customHeight="false" outlineLevel="0" collapsed="false">
      <c r="M485" s="24" t="str">
        <f aca="false">IF(OR(I485="",J485=""),"",IF(E485="Buy",(J485-I485)/I485,(I485-J485)/I485))</f>
        <v/>
      </c>
      <c r="N485" s="25" t="str">
        <f aca="false">IF(OR(I485="",J485="",I485=G485),"",IF(E485="Buy",(J485-I485)/(I485-G485),(I485-J485)/(G485-I485)))</f>
        <v/>
      </c>
      <c r="O485" s="2" t="str">
        <f aca="false">IF(OR(B485="",K485=""),"",IFERROR(K485-B485,""))</f>
        <v/>
      </c>
      <c r="P485" s="2" t="str">
        <f aca="false">IF(M485="","",IF(M485&gt;0,1,0))</f>
        <v/>
      </c>
    </row>
    <row r="486" customFormat="false" ht="15" hidden="false" customHeight="false" outlineLevel="0" collapsed="false">
      <c r="M486" s="24" t="str">
        <f aca="false">IF(OR(I486="",J486=""),"",IF(E486="Buy",(J486-I486)/I486,(I486-J486)/I486))</f>
        <v/>
      </c>
      <c r="N486" s="25" t="str">
        <f aca="false">IF(OR(I486="",J486="",I486=G486),"",IF(E486="Buy",(J486-I486)/(I486-G486),(I486-J486)/(G486-I486)))</f>
        <v/>
      </c>
      <c r="O486" s="2" t="str">
        <f aca="false">IF(OR(B486="",K486=""),"",IFERROR(K486-B486,""))</f>
        <v/>
      </c>
      <c r="P486" s="2" t="str">
        <f aca="false">IF(M486="","",IF(M486&gt;0,1,0))</f>
        <v/>
      </c>
    </row>
    <row r="487" customFormat="false" ht="15" hidden="false" customHeight="false" outlineLevel="0" collapsed="false">
      <c r="M487" s="24" t="str">
        <f aca="false">IF(OR(I487="",J487=""),"",IF(E487="Buy",(J487-I487)/I487,(I487-J487)/I487))</f>
        <v/>
      </c>
      <c r="N487" s="25" t="str">
        <f aca="false">IF(OR(I487="",J487="",I487=G487),"",IF(E487="Buy",(J487-I487)/(I487-G487),(I487-J487)/(G487-I487)))</f>
        <v/>
      </c>
      <c r="O487" s="2" t="str">
        <f aca="false">IF(OR(B487="",K487=""),"",IFERROR(K487-B487,""))</f>
        <v/>
      </c>
      <c r="P487" s="2" t="str">
        <f aca="false">IF(M487="","",IF(M487&gt;0,1,0))</f>
        <v/>
      </c>
    </row>
    <row r="488" customFormat="false" ht="15" hidden="false" customHeight="false" outlineLevel="0" collapsed="false">
      <c r="M488" s="24" t="str">
        <f aca="false">IF(OR(I488="",J488=""),"",IF(E488="Buy",(J488-I488)/I488,(I488-J488)/I488))</f>
        <v/>
      </c>
      <c r="N488" s="25" t="str">
        <f aca="false">IF(OR(I488="",J488="",I488=G488),"",IF(E488="Buy",(J488-I488)/(I488-G488),(I488-J488)/(G488-I488)))</f>
        <v/>
      </c>
      <c r="O488" s="2" t="str">
        <f aca="false">IF(OR(B488="",K488=""),"",IFERROR(K488-B488,""))</f>
        <v/>
      </c>
      <c r="P488" s="2" t="str">
        <f aca="false">IF(M488="","",IF(M488&gt;0,1,0))</f>
        <v/>
      </c>
    </row>
    <row r="489" customFormat="false" ht="15" hidden="false" customHeight="false" outlineLevel="0" collapsed="false">
      <c r="M489" s="24" t="str">
        <f aca="false">IF(OR(I489="",J489=""),"",IF(E489="Buy",(J489-I489)/I489,(I489-J489)/I489))</f>
        <v/>
      </c>
      <c r="N489" s="25" t="str">
        <f aca="false">IF(OR(I489="",J489="",I489=G489),"",IF(E489="Buy",(J489-I489)/(I489-G489),(I489-J489)/(G489-I489)))</f>
        <v/>
      </c>
      <c r="O489" s="2" t="str">
        <f aca="false">IF(OR(B489="",K489=""),"",IFERROR(K489-B489,""))</f>
        <v/>
      </c>
      <c r="P489" s="2" t="str">
        <f aca="false">IF(M489="","",IF(M489&gt;0,1,0))</f>
        <v/>
      </c>
    </row>
    <row r="490" customFormat="false" ht="15" hidden="false" customHeight="false" outlineLevel="0" collapsed="false">
      <c r="M490" s="24" t="str">
        <f aca="false">IF(OR(I490="",J490=""),"",IF(E490="Buy",(J490-I490)/I490,(I490-J490)/I490))</f>
        <v/>
      </c>
      <c r="N490" s="25" t="str">
        <f aca="false">IF(OR(I490="",J490="",I490=G490),"",IF(E490="Buy",(J490-I490)/(I490-G490),(I490-J490)/(G490-I490)))</f>
        <v/>
      </c>
      <c r="O490" s="2" t="str">
        <f aca="false">IF(OR(B490="",K490=""),"",IFERROR(K490-B490,""))</f>
        <v/>
      </c>
      <c r="P490" s="2" t="str">
        <f aca="false">IF(M490="","",IF(M490&gt;0,1,0))</f>
        <v/>
      </c>
    </row>
    <row r="491" customFormat="false" ht="15" hidden="false" customHeight="false" outlineLevel="0" collapsed="false">
      <c r="M491" s="24" t="str">
        <f aca="false">IF(OR(I491="",J491=""),"",IF(E491="Buy",(J491-I491)/I491,(I491-J491)/I491))</f>
        <v/>
      </c>
      <c r="N491" s="25" t="str">
        <f aca="false">IF(OR(I491="",J491="",I491=G491),"",IF(E491="Buy",(J491-I491)/(I491-G491),(I491-J491)/(G491-I491)))</f>
        <v/>
      </c>
      <c r="O491" s="2" t="str">
        <f aca="false">IF(OR(B491="",K491=""),"",IFERROR(K491-B491,""))</f>
        <v/>
      </c>
      <c r="P491" s="2" t="str">
        <f aca="false">IF(M491="","",IF(M491&gt;0,1,0))</f>
        <v/>
      </c>
    </row>
    <row r="492" customFormat="false" ht="15" hidden="false" customHeight="false" outlineLevel="0" collapsed="false">
      <c r="M492" s="24" t="str">
        <f aca="false">IF(OR(I492="",J492=""),"",IF(E492="Buy",(J492-I492)/I492,(I492-J492)/I492))</f>
        <v/>
      </c>
      <c r="N492" s="25" t="str">
        <f aca="false">IF(OR(I492="",J492="",I492=G492),"",IF(E492="Buy",(J492-I492)/(I492-G492),(I492-J492)/(G492-I492)))</f>
        <v/>
      </c>
      <c r="O492" s="2" t="str">
        <f aca="false">IF(OR(B492="",K492=""),"",IFERROR(K492-B492,""))</f>
        <v/>
      </c>
      <c r="P492" s="2" t="str">
        <f aca="false">IF(M492="","",IF(M492&gt;0,1,0))</f>
        <v/>
      </c>
    </row>
    <row r="493" customFormat="false" ht="15" hidden="false" customHeight="false" outlineLevel="0" collapsed="false">
      <c r="M493" s="24" t="str">
        <f aca="false">IF(OR(I493="",J493=""),"",IF(E493="Buy",(J493-I493)/I493,(I493-J493)/I493))</f>
        <v/>
      </c>
      <c r="N493" s="25" t="str">
        <f aca="false">IF(OR(I493="",J493="",I493=G493),"",IF(E493="Buy",(J493-I493)/(I493-G493),(I493-J493)/(G493-I493)))</f>
        <v/>
      </c>
      <c r="O493" s="2" t="str">
        <f aca="false">IF(OR(B493="",K493=""),"",IFERROR(K493-B493,""))</f>
        <v/>
      </c>
      <c r="P493" s="2" t="str">
        <f aca="false">IF(M493="","",IF(M493&gt;0,1,0))</f>
        <v/>
      </c>
    </row>
    <row r="494" customFormat="false" ht="15" hidden="false" customHeight="false" outlineLevel="0" collapsed="false">
      <c r="M494" s="24" t="str">
        <f aca="false">IF(OR(I494="",J494=""),"",IF(E494="Buy",(J494-I494)/I494,(I494-J494)/I494))</f>
        <v/>
      </c>
      <c r="N494" s="25" t="str">
        <f aca="false">IF(OR(I494="",J494="",I494=G494),"",IF(E494="Buy",(J494-I494)/(I494-G494),(I494-J494)/(G494-I494)))</f>
        <v/>
      </c>
      <c r="O494" s="2" t="str">
        <f aca="false">IF(OR(B494="",K494=""),"",IFERROR(K494-B494,""))</f>
        <v/>
      </c>
      <c r="P494" s="2" t="str">
        <f aca="false">IF(M494="","",IF(M494&gt;0,1,0))</f>
        <v/>
      </c>
    </row>
    <row r="495" customFormat="false" ht="15" hidden="false" customHeight="false" outlineLevel="0" collapsed="false">
      <c r="M495" s="24" t="str">
        <f aca="false">IF(OR(I495="",J495=""),"",IF(E495="Buy",(J495-I495)/I495,(I495-J495)/I495))</f>
        <v/>
      </c>
      <c r="N495" s="25" t="str">
        <f aca="false">IF(OR(I495="",J495="",I495=G495),"",IF(E495="Buy",(J495-I495)/(I495-G495),(I495-J495)/(G495-I495)))</f>
        <v/>
      </c>
      <c r="O495" s="2" t="str">
        <f aca="false">IF(OR(B495="",K495=""),"",IFERROR(K495-B495,""))</f>
        <v/>
      </c>
      <c r="P495" s="2" t="str">
        <f aca="false">IF(M495="","",IF(M495&gt;0,1,0))</f>
        <v/>
      </c>
    </row>
    <row r="496" customFormat="false" ht="15" hidden="false" customHeight="false" outlineLevel="0" collapsed="false">
      <c r="M496" s="24" t="str">
        <f aca="false">IF(OR(I496="",J496=""),"",IF(E496="Buy",(J496-I496)/I496,(I496-J496)/I496))</f>
        <v/>
      </c>
      <c r="N496" s="25" t="str">
        <f aca="false">IF(OR(I496="",J496="",I496=G496),"",IF(E496="Buy",(J496-I496)/(I496-G496),(I496-J496)/(G496-I496)))</f>
        <v/>
      </c>
      <c r="O496" s="2" t="str">
        <f aca="false">IF(OR(B496="",K496=""),"",IFERROR(K496-B496,""))</f>
        <v/>
      </c>
      <c r="P496" s="2" t="str">
        <f aca="false">IF(M496="","",IF(M496&gt;0,1,0))</f>
        <v/>
      </c>
    </row>
    <row r="497" customFormat="false" ht="15" hidden="false" customHeight="false" outlineLevel="0" collapsed="false">
      <c r="M497" s="24" t="str">
        <f aca="false">IF(OR(I497="",J497=""),"",IF(E497="Buy",(J497-I497)/I497,(I497-J497)/I497))</f>
        <v/>
      </c>
      <c r="N497" s="25" t="str">
        <f aca="false">IF(OR(I497="",J497="",I497=G497),"",IF(E497="Buy",(J497-I497)/(I497-G497),(I497-J497)/(G497-I497)))</f>
        <v/>
      </c>
      <c r="O497" s="2" t="str">
        <f aca="false">IF(OR(B497="",K497=""),"",IFERROR(K497-B497,""))</f>
        <v/>
      </c>
      <c r="P497" s="2" t="str">
        <f aca="false">IF(M497="","",IF(M497&gt;0,1,0))</f>
        <v/>
      </c>
    </row>
    <row r="498" customFormat="false" ht="15" hidden="false" customHeight="false" outlineLevel="0" collapsed="false">
      <c r="M498" s="24" t="str">
        <f aca="false">IF(OR(I498="",J498=""),"",IF(E498="Buy",(J498-I498)/I498,(I498-J498)/I498))</f>
        <v/>
      </c>
      <c r="N498" s="25" t="str">
        <f aca="false">IF(OR(I498="",J498="",I498=G498),"",IF(E498="Buy",(J498-I498)/(I498-G498),(I498-J498)/(G498-I498)))</f>
        <v/>
      </c>
      <c r="O498" s="2" t="str">
        <f aca="false">IF(OR(B498="",K498=""),"",IFERROR(K498-B498,""))</f>
        <v/>
      </c>
      <c r="P498" s="2" t="str">
        <f aca="false">IF(M498="","",IF(M498&gt;0,1,0))</f>
        <v/>
      </c>
    </row>
    <row r="499" customFormat="false" ht="15" hidden="false" customHeight="false" outlineLevel="0" collapsed="false">
      <c r="M499" s="24" t="str">
        <f aca="false">IF(OR(I499="",J499=""),"",IF(E499="Buy",(J499-I499)/I499,(I499-J499)/I499))</f>
        <v/>
      </c>
      <c r="N499" s="25" t="str">
        <f aca="false">IF(OR(I499="",J499="",I499=G499),"",IF(E499="Buy",(J499-I499)/(I499-G499),(I499-J499)/(G499-I499)))</f>
        <v/>
      </c>
      <c r="O499" s="2" t="str">
        <f aca="false">IF(OR(B499="",K499=""),"",IFERROR(K499-B499,""))</f>
        <v/>
      </c>
      <c r="P499" s="2" t="str">
        <f aca="false">IF(M499="","",IF(M499&gt;0,1,0))</f>
        <v/>
      </c>
    </row>
    <row r="500" customFormat="false" ht="15" hidden="false" customHeight="false" outlineLevel="0" collapsed="false">
      <c r="M500" s="24" t="str">
        <f aca="false">IF(OR(I500="",J500=""),"",IF(E500="Buy",(J500-I500)/I500,(I500-J500)/I500))</f>
        <v/>
      </c>
      <c r="N500" s="25" t="str">
        <f aca="false">IF(OR(I500="",J500="",I500=G500),"",IF(E500="Buy",(J500-I500)/(I500-G500),(I500-J500)/(G500-I500)))</f>
        <v/>
      </c>
      <c r="O500" s="2" t="str">
        <f aca="false">IF(OR(B500="",K500=""),"",IFERROR(K500-B500,""))</f>
        <v/>
      </c>
      <c r="P500" s="2" t="str">
        <f aca="false">IF(M500="","",IF(M500&gt;0,1,0))</f>
        <v/>
      </c>
    </row>
    <row r="501" customFormat="false" ht="15" hidden="false" customHeight="false" outlineLevel="0" collapsed="false">
      <c r="M501" s="24" t="str">
        <f aca="false">IF(OR(I501="",J501=""),"",IF(E501="Buy",(J501-I501)/I501,(I501-J501)/I501))</f>
        <v/>
      </c>
      <c r="N501" s="25" t="str">
        <f aca="false">IF(OR(I501="",J501="",I501=G501),"",IF(E501="Buy",(J501-I501)/(I501-G501),(I501-J501)/(G501-I501)))</f>
        <v/>
      </c>
      <c r="O501" s="2" t="str">
        <f aca="false">IF(OR(B501="",K501=""),"",IFERROR(K501-B501,""))</f>
        <v/>
      </c>
      <c r="P501" s="2" t="str">
        <f aca="false">IF(M501="","",IF(M501&gt;0,1,0))</f>
        <v/>
      </c>
    </row>
    <row r="502" customFormat="false" ht="15" hidden="false" customHeight="false" outlineLevel="0" collapsed="false">
      <c r="M502" s="24" t="str">
        <f aca="false">IF(OR(I502="",J502=""),"",IF(E502="Buy",(J502-I502)/I502,(I502-J502)/I502))</f>
        <v/>
      </c>
      <c r="N502" s="25" t="str">
        <f aca="false">IF(OR(I502="",J502="",I502=G502),"",IF(E502="Buy",(J502-I502)/(I502-G502),(I502-J502)/(G502-I502)))</f>
        <v/>
      </c>
      <c r="O502" s="2" t="str">
        <f aca="false">IF(OR(B502="",K502=""),"",IFERROR(K502-B502,""))</f>
        <v/>
      </c>
      <c r="P502" s="2" t="str">
        <f aca="false">IF(M502="","",IF(M502&gt;0,1,0))</f>
        <v/>
      </c>
    </row>
    <row r="503" customFormat="false" ht="15" hidden="false" customHeight="false" outlineLevel="0" collapsed="false">
      <c r="M503" s="24" t="str">
        <f aca="false">IF(OR(I503="",J503=""),"",IF(E503="Buy",(J503-I503)/I503,(I503-J503)/I503))</f>
        <v/>
      </c>
      <c r="N503" s="25" t="str">
        <f aca="false">IF(OR(I503="",J503="",I503=G503),"",IF(E503="Buy",(J503-I503)/(I503-G503),(I503-J503)/(G503-I503)))</f>
        <v/>
      </c>
      <c r="O503" s="2" t="str">
        <f aca="false">IF(OR(B503="",K503=""),"",IFERROR(K503-B503,""))</f>
        <v/>
      </c>
      <c r="P503" s="2" t="str">
        <f aca="false">IF(M503="","",IF(M503&gt;0,1,0))</f>
        <v/>
      </c>
    </row>
    <row r="504" customFormat="false" ht="15" hidden="false" customHeight="false" outlineLevel="0" collapsed="false">
      <c r="M504" s="24" t="str">
        <f aca="false">IF(OR(I504="",J504=""),"",IF(E504="Buy",(J504-I504)/I504,(I504-J504)/I504))</f>
        <v/>
      </c>
      <c r="N504" s="25" t="str">
        <f aca="false">IF(OR(I504="",J504="",I504=G504),"",IF(E504="Buy",(J504-I504)/(I504-G504),(I504-J504)/(G504-I504)))</f>
        <v/>
      </c>
      <c r="O504" s="2" t="str">
        <f aca="false">IF(OR(B504="",K504=""),"",IFERROR(K504-B504,""))</f>
        <v/>
      </c>
      <c r="P504" s="2" t="str">
        <f aca="false">IF(M504="","",IF(M504&gt;0,1,0))</f>
        <v/>
      </c>
    </row>
    <row r="505" customFormat="false" ht="15" hidden="false" customHeight="false" outlineLevel="0" collapsed="false">
      <c r="M505" s="24" t="str">
        <f aca="false">IF(OR(I505="",J505=""),"",IF(E505="Buy",(J505-I505)/I505,(I505-J505)/I505))</f>
        <v/>
      </c>
      <c r="N505" s="25" t="str">
        <f aca="false">IF(OR(I505="",J505="",I505=G505),"",IF(E505="Buy",(J505-I505)/(I505-G505),(I505-J505)/(G505-I505)))</f>
        <v/>
      </c>
      <c r="O505" s="2" t="str">
        <f aca="false">IF(OR(B505="",K505=""),"",IFERROR(K505-B505,""))</f>
        <v/>
      </c>
      <c r="P505" s="2" t="str">
        <f aca="false">IF(M505="","",IF(M505&gt;0,1,0))</f>
        <v/>
      </c>
    </row>
    <row r="506" customFormat="false" ht="15" hidden="false" customHeight="false" outlineLevel="0" collapsed="false">
      <c r="M506" s="24" t="str">
        <f aca="false">IF(OR(I506="",J506=""),"",IF(E506="Buy",(J506-I506)/I506,(I506-J506)/I506))</f>
        <v/>
      </c>
      <c r="N506" s="25" t="str">
        <f aca="false">IF(OR(I506="",J506="",I506=G506),"",IF(E506="Buy",(J506-I506)/(I506-G506),(I506-J506)/(G506-I506)))</f>
        <v/>
      </c>
      <c r="O506" s="2" t="str">
        <f aca="false">IF(OR(B506="",K506=""),"",IFERROR(K506-B506,""))</f>
        <v/>
      </c>
      <c r="P506" s="2" t="str">
        <f aca="false">IF(M506="","",IF(M506&gt;0,1,0))</f>
        <v/>
      </c>
    </row>
    <row r="507" customFormat="false" ht="15" hidden="false" customHeight="false" outlineLevel="0" collapsed="false">
      <c r="M507" s="24" t="str">
        <f aca="false">IF(OR(I507="",J507=""),"",IF(E507="Buy",(J507-I507)/I507,(I507-J507)/I507))</f>
        <v/>
      </c>
      <c r="N507" s="25" t="str">
        <f aca="false">IF(OR(I507="",J507="",I507=G507),"",IF(E507="Buy",(J507-I507)/(I507-G507),(I507-J507)/(G507-I507)))</f>
        <v/>
      </c>
      <c r="O507" s="2" t="str">
        <f aca="false">IF(OR(B507="",K507=""),"",IFERROR(K507-B507,""))</f>
        <v/>
      </c>
      <c r="P507" s="2" t="str">
        <f aca="false">IF(M507="","",IF(M507&gt;0,1,0))</f>
        <v/>
      </c>
    </row>
    <row r="508" customFormat="false" ht="15" hidden="false" customHeight="false" outlineLevel="0" collapsed="false">
      <c r="M508" s="24" t="str">
        <f aca="false">IF(OR(I508="",J508=""),"",IF(E508="Buy",(J508-I508)/I508,(I508-J508)/I508))</f>
        <v/>
      </c>
      <c r="N508" s="25" t="str">
        <f aca="false">IF(OR(I508="",J508="",I508=G508),"",IF(E508="Buy",(J508-I508)/(I508-G508),(I508-J508)/(G508-I508)))</f>
        <v/>
      </c>
      <c r="O508" s="2" t="str">
        <f aca="false">IF(OR(B508="",K508=""),"",IFERROR(K508-B508,""))</f>
        <v/>
      </c>
      <c r="P508" s="2" t="str">
        <f aca="false">IF(M508="","",IF(M508&gt;0,1,0))</f>
        <v/>
      </c>
    </row>
    <row r="509" customFormat="false" ht="15" hidden="false" customHeight="false" outlineLevel="0" collapsed="false">
      <c r="M509" s="24" t="str">
        <f aca="false">IF(OR(I509="",J509=""),"",IF(E509="Buy",(J509-I509)/I509,(I509-J509)/I509))</f>
        <v/>
      </c>
      <c r="N509" s="25" t="str">
        <f aca="false">IF(OR(I509="",J509="",I509=G509),"",IF(E509="Buy",(J509-I509)/(I509-G509),(I509-J509)/(G509-I509)))</f>
        <v/>
      </c>
      <c r="O509" s="2" t="str">
        <f aca="false">IF(OR(B509="",K509=""),"",IFERROR(K509-B509,""))</f>
        <v/>
      </c>
      <c r="P509" s="2" t="str">
        <f aca="false">IF(M509="","",IF(M509&gt;0,1,0))</f>
        <v/>
      </c>
    </row>
    <row r="510" customFormat="false" ht="15" hidden="false" customHeight="false" outlineLevel="0" collapsed="false">
      <c r="M510" s="24" t="str">
        <f aca="false">IF(OR(I510="",J510=""),"",IF(E510="Buy",(J510-I510)/I510,(I510-J510)/I510))</f>
        <v/>
      </c>
      <c r="N510" s="25" t="str">
        <f aca="false">IF(OR(I510="",J510="",I510=G510),"",IF(E510="Buy",(J510-I510)/(I510-G510),(I510-J510)/(G510-I510)))</f>
        <v/>
      </c>
      <c r="O510" s="2" t="str">
        <f aca="false">IF(OR(B510="",K510=""),"",IFERROR(K510-B510,""))</f>
        <v/>
      </c>
      <c r="P510" s="2" t="str">
        <f aca="false">IF(M510="","",IF(M510&gt;0,1,0))</f>
        <v/>
      </c>
    </row>
    <row r="511" customFormat="false" ht="15" hidden="false" customHeight="false" outlineLevel="0" collapsed="false">
      <c r="M511" s="24" t="str">
        <f aca="false">IF(OR(I511="",J511=""),"",IF(E511="Buy",(J511-I511)/I511,(I511-J511)/I511))</f>
        <v/>
      </c>
      <c r="N511" s="25" t="str">
        <f aca="false">IF(OR(I511="",J511="",I511=G511),"",IF(E511="Buy",(J511-I511)/(I511-G511),(I511-J511)/(G511-I511)))</f>
        <v/>
      </c>
      <c r="O511" s="2" t="str">
        <f aca="false">IF(OR(B511="",K511=""),"",IFERROR(K511-B511,""))</f>
        <v/>
      </c>
      <c r="P511" s="2" t="str">
        <f aca="false">IF(M511="","",IF(M511&gt;0,1,0))</f>
        <v/>
      </c>
    </row>
    <row r="512" customFormat="false" ht="15" hidden="false" customHeight="false" outlineLevel="0" collapsed="false">
      <c r="M512" s="24" t="str">
        <f aca="false">IF(OR(I512="",J512=""),"",IF(E512="Buy",(J512-I512)/I512,(I512-J512)/I512))</f>
        <v/>
      </c>
      <c r="N512" s="25" t="str">
        <f aca="false">IF(OR(I512="",J512="",I512=G512),"",IF(E512="Buy",(J512-I512)/(I512-G512),(I512-J512)/(G512-I512)))</f>
        <v/>
      </c>
      <c r="O512" s="2" t="str">
        <f aca="false">IF(OR(B512="",K512=""),"",IFERROR(K512-B512,""))</f>
        <v/>
      </c>
      <c r="P512" s="2" t="str">
        <f aca="false">IF(M512="","",IF(M512&gt;0,1,0))</f>
        <v/>
      </c>
    </row>
    <row r="513" customFormat="false" ht="15" hidden="false" customHeight="false" outlineLevel="0" collapsed="false">
      <c r="M513" s="24" t="str">
        <f aca="false">IF(OR(I513="",J513=""),"",IF(E513="Buy",(J513-I513)/I513,(I513-J513)/I513))</f>
        <v/>
      </c>
      <c r="N513" s="25" t="str">
        <f aca="false">IF(OR(I513="",J513="",I513=G513),"",IF(E513="Buy",(J513-I513)/(I513-G513),(I513-J513)/(G513-I513)))</f>
        <v/>
      </c>
      <c r="O513" s="2" t="str">
        <f aca="false">IF(OR(B513="",K513=""),"",IFERROR(K513-B513,""))</f>
        <v/>
      </c>
      <c r="P513" s="2" t="str">
        <f aca="false">IF(M513="","",IF(M513&gt;0,1,0))</f>
        <v/>
      </c>
    </row>
    <row r="514" customFormat="false" ht="15" hidden="false" customHeight="false" outlineLevel="0" collapsed="false">
      <c r="M514" s="24" t="str">
        <f aca="false">IF(OR(I514="",J514=""),"",IF(E514="Buy",(J514-I514)/I514,(I514-J514)/I514))</f>
        <v/>
      </c>
      <c r="N514" s="25" t="str">
        <f aca="false">IF(OR(I514="",J514="",I514=G514),"",IF(E514="Buy",(J514-I514)/(I514-G514),(I514-J514)/(G514-I514)))</f>
        <v/>
      </c>
      <c r="O514" s="2" t="str">
        <f aca="false">IF(OR(B514="",K514=""),"",IFERROR(K514-B514,""))</f>
        <v/>
      </c>
      <c r="P514" s="2" t="str">
        <f aca="false">IF(M514="","",IF(M514&gt;0,1,0))</f>
        <v/>
      </c>
    </row>
    <row r="515" customFormat="false" ht="15" hidden="false" customHeight="false" outlineLevel="0" collapsed="false">
      <c r="M515" s="24" t="str">
        <f aca="false">IF(OR(I515="",J515=""),"",IF(E515="Buy",(J515-I515)/I515,(I515-J515)/I515))</f>
        <v/>
      </c>
      <c r="N515" s="25" t="str">
        <f aca="false">IF(OR(I515="",J515="",I515=G515),"",IF(E515="Buy",(J515-I515)/(I515-G515),(I515-J515)/(G515-I515)))</f>
        <v/>
      </c>
      <c r="O515" s="2" t="str">
        <f aca="false">IF(OR(B515="",K515=""),"",IFERROR(K515-B515,""))</f>
        <v/>
      </c>
      <c r="P515" s="2" t="str">
        <f aca="false">IF(M515="","",IF(M515&gt;0,1,0))</f>
        <v/>
      </c>
    </row>
    <row r="516" customFormat="false" ht="15" hidden="false" customHeight="false" outlineLevel="0" collapsed="false">
      <c r="M516" s="24" t="str">
        <f aca="false">IF(OR(I516="",J516=""),"",IF(E516="Buy",(J516-I516)/I516,(I516-J516)/I516))</f>
        <v/>
      </c>
      <c r="N516" s="25" t="str">
        <f aca="false">IF(OR(I516="",J516="",I516=G516),"",IF(E516="Buy",(J516-I516)/(I516-G516),(I516-J516)/(G516-I516)))</f>
        <v/>
      </c>
      <c r="O516" s="2" t="str">
        <f aca="false">IF(OR(B516="",K516=""),"",IFERROR(K516-B516,""))</f>
        <v/>
      </c>
      <c r="P516" s="2" t="str">
        <f aca="false">IF(M516="","",IF(M516&gt;0,1,0))</f>
        <v/>
      </c>
    </row>
    <row r="517" customFormat="false" ht="15" hidden="false" customHeight="false" outlineLevel="0" collapsed="false">
      <c r="M517" s="24" t="str">
        <f aca="false">IF(OR(I517="",J517=""),"",IF(E517="Buy",(J517-I517)/I517,(I517-J517)/I517))</f>
        <v/>
      </c>
      <c r="N517" s="25" t="str">
        <f aca="false">IF(OR(I517="",J517="",I517=G517),"",IF(E517="Buy",(J517-I517)/(I517-G517),(I517-J517)/(G517-I517)))</f>
        <v/>
      </c>
      <c r="O517" s="2" t="str">
        <f aca="false">IF(OR(B517="",K517=""),"",IFERROR(K517-B517,""))</f>
        <v/>
      </c>
      <c r="P517" s="2" t="str">
        <f aca="false">IF(M517="","",IF(M517&gt;0,1,0))</f>
        <v/>
      </c>
    </row>
    <row r="518" customFormat="false" ht="15" hidden="false" customHeight="false" outlineLevel="0" collapsed="false">
      <c r="M518" s="24" t="str">
        <f aca="false">IF(OR(I518="",J518=""),"",IF(E518="Buy",(J518-I518)/I518,(I518-J518)/I518))</f>
        <v/>
      </c>
      <c r="N518" s="25" t="str">
        <f aca="false">IF(OR(I518="",J518="",I518=G518),"",IF(E518="Buy",(J518-I518)/(I518-G518),(I518-J518)/(G518-I518)))</f>
        <v/>
      </c>
      <c r="O518" s="2" t="str">
        <f aca="false">IF(OR(B518="",K518=""),"",IFERROR(K518-B518,""))</f>
        <v/>
      </c>
      <c r="P518" s="2" t="str">
        <f aca="false">IF(M518="","",IF(M518&gt;0,1,0))</f>
        <v/>
      </c>
    </row>
    <row r="519" customFormat="false" ht="15" hidden="false" customHeight="false" outlineLevel="0" collapsed="false">
      <c r="M519" s="24" t="str">
        <f aca="false">IF(OR(I519="",J519=""),"",IF(E519="Buy",(J519-I519)/I519,(I519-J519)/I519))</f>
        <v/>
      </c>
      <c r="N519" s="25" t="str">
        <f aca="false">IF(OR(I519="",J519="",I519=G519),"",IF(E519="Buy",(J519-I519)/(I519-G519),(I519-J519)/(G519-I519)))</f>
        <v/>
      </c>
      <c r="O519" s="2" t="str">
        <f aca="false">IF(OR(B519="",K519=""),"",IFERROR(K519-B519,""))</f>
        <v/>
      </c>
      <c r="P519" s="2" t="str">
        <f aca="false">IF(M519="","",IF(M519&gt;0,1,0))</f>
        <v/>
      </c>
    </row>
    <row r="520" customFormat="false" ht="15" hidden="false" customHeight="false" outlineLevel="0" collapsed="false">
      <c r="M520" s="24" t="str">
        <f aca="false">IF(OR(I520="",J520=""),"",IF(E520="Buy",(J520-I520)/I520,(I520-J520)/I520))</f>
        <v/>
      </c>
      <c r="N520" s="25" t="str">
        <f aca="false">IF(OR(I520="",J520="",I520=G520),"",IF(E520="Buy",(J520-I520)/(I520-G520),(I520-J520)/(G520-I520)))</f>
        <v/>
      </c>
      <c r="O520" s="2" t="str">
        <f aca="false">IF(OR(B520="",K520=""),"",IFERROR(K520-B520,""))</f>
        <v/>
      </c>
      <c r="P520" s="2" t="str">
        <f aca="false">IF(M520="","",IF(M520&gt;0,1,0))</f>
        <v/>
      </c>
    </row>
    <row r="521" customFormat="false" ht="15" hidden="false" customHeight="false" outlineLevel="0" collapsed="false">
      <c r="M521" s="24" t="str">
        <f aca="false">IF(OR(I521="",J521=""),"",IF(E521="Buy",(J521-I521)/I521,(I521-J521)/I521))</f>
        <v/>
      </c>
      <c r="N521" s="25" t="str">
        <f aca="false">IF(OR(I521="",J521="",I521=G521),"",IF(E521="Buy",(J521-I521)/(I521-G521),(I521-J521)/(G521-I521)))</f>
        <v/>
      </c>
      <c r="O521" s="2" t="str">
        <f aca="false">IF(OR(B521="",K521=""),"",IFERROR(K521-B521,""))</f>
        <v/>
      </c>
      <c r="P521" s="2" t="str">
        <f aca="false">IF(M521="","",IF(M521&gt;0,1,0))</f>
        <v/>
      </c>
    </row>
    <row r="522" customFormat="false" ht="15" hidden="false" customHeight="false" outlineLevel="0" collapsed="false">
      <c r="M522" s="24" t="str">
        <f aca="false">IF(OR(I522="",J522=""),"",IF(E522="Buy",(J522-I522)/I522,(I522-J522)/I522))</f>
        <v/>
      </c>
      <c r="N522" s="25" t="str">
        <f aca="false">IF(OR(I522="",J522="",I522=G522),"",IF(E522="Buy",(J522-I522)/(I522-G522),(I522-J522)/(G522-I522)))</f>
        <v/>
      </c>
      <c r="O522" s="2" t="str">
        <f aca="false">IF(OR(B522="",K522=""),"",IFERROR(K522-B522,""))</f>
        <v/>
      </c>
      <c r="P522" s="2" t="str">
        <f aca="false">IF(M522="","",IF(M522&gt;0,1,0))</f>
        <v/>
      </c>
    </row>
    <row r="523" customFormat="false" ht="15" hidden="false" customHeight="false" outlineLevel="0" collapsed="false">
      <c r="M523" s="24" t="str">
        <f aca="false">IF(OR(I523="",J523=""),"",IF(E523="Buy",(J523-I523)/I523,(I523-J523)/I523))</f>
        <v/>
      </c>
      <c r="N523" s="25" t="str">
        <f aca="false">IF(OR(I523="",J523="",I523=G523),"",IF(E523="Buy",(J523-I523)/(I523-G523),(I523-J523)/(G523-I523)))</f>
        <v/>
      </c>
      <c r="O523" s="2" t="str">
        <f aca="false">IF(OR(B523="",K523=""),"",IFERROR(K523-B523,""))</f>
        <v/>
      </c>
      <c r="P523" s="2" t="str">
        <f aca="false">IF(M523="","",IF(M523&gt;0,1,0))</f>
        <v/>
      </c>
    </row>
    <row r="524" customFormat="false" ht="15" hidden="false" customHeight="false" outlineLevel="0" collapsed="false">
      <c r="M524" s="24" t="str">
        <f aca="false">IF(OR(I524="",J524=""),"",IF(E524="Buy",(J524-I524)/I524,(I524-J524)/I524))</f>
        <v/>
      </c>
      <c r="N524" s="25" t="str">
        <f aca="false">IF(OR(I524="",J524="",I524=G524),"",IF(E524="Buy",(J524-I524)/(I524-G524),(I524-J524)/(G524-I524)))</f>
        <v/>
      </c>
      <c r="O524" s="2" t="str">
        <f aca="false">IF(OR(B524="",K524=""),"",IFERROR(K524-B524,""))</f>
        <v/>
      </c>
      <c r="P524" s="2" t="str">
        <f aca="false">IF(M524="","",IF(M524&gt;0,1,0))</f>
        <v/>
      </c>
    </row>
    <row r="525" customFormat="false" ht="15" hidden="false" customHeight="false" outlineLevel="0" collapsed="false">
      <c r="M525" s="24" t="str">
        <f aca="false">IF(OR(I525="",J525=""),"",IF(E525="Buy",(J525-I525)/I525,(I525-J525)/I525))</f>
        <v/>
      </c>
      <c r="N525" s="25" t="str">
        <f aca="false">IF(OR(I525="",J525="",I525=G525),"",IF(E525="Buy",(J525-I525)/(I525-G525),(I525-J525)/(G525-I525)))</f>
        <v/>
      </c>
      <c r="O525" s="2" t="str">
        <f aca="false">IF(OR(B525="",K525=""),"",IFERROR(K525-B525,""))</f>
        <v/>
      </c>
      <c r="P525" s="2" t="str">
        <f aca="false">IF(M525="","",IF(M525&gt;0,1,0))</f>
        <v/>
      </c>
    </row>
    <row r="526" customFormat="false" ht="15" hidden="false" customHeight="false" outlineLevel="0" collapsed="false">
      <c r="M526" s="24" t="str">
        <f aca="false">IF(OR(I526="",J526=""),"",IF(E526="Buy",(J526-I526)/I526,(I526-J526)/I526))</f>
        <v/>
      </c>
      <c r="N526" s="25" t="str">
        <f aca="false">IF(OR(I526="",J526="",I526=G526),"",IF(E526="Buy",(J526-I526)/(I526-G526),(I526-J526)/(G526-I526)))</f>
        <v/>
      </c>
      <c r="O526" s="2" t="str">
        <f aca="false">IF(OR(B526="",K526=""),"",IFERROR(K526-B526,""))</f>
        <v/>
      </c>
      <c r="P526" s="2" t="str">
        <f aca="false">IF(M526="","",IF(M526&gt;0,1,0))</f>
        <v/>
      </c>
    </row>
    <row r="527" customFormat="false" ht="15" hidden="false" customHeight="false" outlineLevel="0" collapsed="false">
      <c r="M527" s="24" t="str">
        <f aca="false">IF(OR(I527="",J527=""),"",IF(E527="Buy",(J527-I527)/I527,(I527-J527)/I527))</f>
        <v/>
      </c>
      <c r="N527" s="25" t="str">
        <f aca="false">IF(OR(I527="",J527="",I527=G527),"",IF(E527="Buy",(J527-I527)/(I527-G527),(I527-J527)/(G527-I527)))</f>
        <v/>
      </c>
      <c r="O527" s="2" t="str">
        <f aca="false">IF(OR(B527="",K527=""),"",IFERROR(K527-B527,""))</f>
        <v/>
      </c>
      <c r="P527" s="2" t="str">
        <f aca="false">IF(M527="","",IF(M527&gt;0,1,0))</f>
        <v/>
      </c>
    </row>
    <row r="528" customFormat="false" ht="15" hidden="false" customHeight="false" outlineLevel="0" collapsed="false">
      <c r="M528" s="24" t="str">
        <f aca="false">IF(OR(I528="",J528=""),"",IF(E528="Buy",(J528-I528)/I528,(I528-J528)/I528))</f>
        <v/>
      </c>
      <c r="N528" s="25" t="str">
        <f aca="false">IF(OR(I528="",J528="",I528=G528),"",IF(E528="Buy",(J528-I528)/(I528-G528),(I528-J528)/(G528-I528)))</f>
        <v/>
      </c>
      <c r="O528" s="2" t="str">
        <f aca="false">IF(OR(B528="",K528=""),"",IFERROR(K528-B528,""))</f>
        <v/>
      </c>
      <c r="P528" s="2" t="str">
        <f aca="false">IF(M528="","",IF(M528&gt;0,1,0))</f>
        <v/>
      </c>
    </row>
    <row r="529" customFormat="false" ht="15" hidden="false" customHeight="false" outlineLevel="0" collapsed="false">
      <c r="M529" s="24" t="str">
        <f aca="false">IF(OR(I529="",J529=""),"",IF(E529="Buy",(J529-I529)/I529,(I529-J529)/I529))</f>
        <v/>
      </c>
      <c r="N529" s="25" t="str">
        <f aca="false">IF(OR(I529="",J529="",I529=G529),"",IF(E529="Buy",(J529-I529)/(I529-G529),(I529-J529)/(G529-I529)))</f>
        <v/>
      </c>
      <c r="O529" s="2" t="str">
        <f aca="false">IF(OR(B529="",K529=""),"",IFERROR(K529-B529,""))</f>
        <v/>
      </c>
      <c r="P529" s="2" t="str">
        <f aca="false">IF(M529="","",IF(M529&gt;0,1,0))</f>
        <v/>
      </c>
    </row>
    <row r="530" customFormat="false" ht="15" hidden="false" customHeight="false" outlineLevel="0" collapsed="false">
      <c r="M530" s="24" t="str">
        <f aca="false">IF(OR(I530="",J530=""),"",IF(E530="Buy",(J530-I530)/I530,(I530-J530)/I530))</f>
        <v/>
      </c>
      <c r="N530" s="25" t="str">
        <f aca="false">IF(OR(I530="",J530="",I530=G530),"",IF(E530="Buy",(J530-I530)/(I530-G530),(I530-J530)/(G530-I530)))</f>
        <v/>
      </c>
      <c r="O530" s="2" t="str">
        <f aca="false">IF(OR(B530="",K530=""),"",IFERROR(K530-B530,""))</f>
        <v/>
      </c>
      <c r="P530" s="2" t="str">
        <f aca="false">IF(M530="","",IF(M530&gt;0,1,0))</f>
        <v/>
      </c>
    </row>
    <row r="531" customFormat="false" ht="15" hidden="false" customHeight="false" outlineLevel="0" collapsed="false">
      <c r="M531" s="24" t="str">
        <f aca="false">IF(OR(I531="",J531=""),"",IF(E531="Buy",(J531-I531)/I531,(I531-J531)/I531))</f>
        <v/>
      </c>
      <c r="N531" s="25" t="str">
        <f aca="false">IF(OR(I531="",J531="",I531=G531),"",IF(E531="Buy",(J531-I531)/(I531-G531),(I531-J531)/(G531-I531)))</f>
        <v/>
      </c>
      <c r="O531" s="2" t="str">
        <f aca="false">IF(OR(B531="",K531=""),"",IFERROR(K531-B531,""))</f>
        <v/>
      </c>
      <c r="P531" s="2" t="str">
        <f aca="false">IF(M531="","",IF(M531&gt;0,1,0))</f>
        <v/>
      </c>
    </row>
    <row r="532" customFormat="false" ht="15" hidden="false" customHeight="false" outlineLevel="0" collapsed="false">
      <c r="M532" s="24" t="str">
        <f aca="false">IF(OR(I532="",J532=""),"",IF(E532="Buy",(J532-I532)/I532,(I532-J532)/I532))</f>
        <v/>
      </c>
      <c r="N532" s="25" t="str">
        <f aca="false">IF(OR(I532="",J532="",I532=G532),"",IF(E532="Buy",(J532-I532)/(I532-G532),(I532-J532)/(G532-I532)))</f>
        <v/>
      </c>
      <c r="O532" s="2" t="str">
        <f aca="false">IF(OR(B532="",K532=""),"",IFERROR(K532-B532,""))</f>
        <v/>
      </c>
      <c r="P532" s="2" t="str">
        <f aca="false">IF(M532="","",IF(M532&gt;0,1,0))</f>
        <v/>
      </c>
    </row>
    <row r="533" customFormat="false" ht="15" hidden="false" customHeight="false" outlineLevel="0" collapsed="false">
      <c r="M533" s="24" t="str">
        <f aca="false">IF(OR(I533="",J533=""),"",IF(E533="Buy",(J533-I533)/I533,(I533-J533)/I533))</f>
        <v/>
      </c>
      <c r="N533" s="25" t="str">
        <f aca="false">IF(OR(I533="",J533="",I533=G533),"",IF(E533="Buy",(J533-I533)/(I533-G533),(I533-J533)/(G533-I533)))</f>
        <v/>
      </c>
      <c r="O533" s="2" t="str">
        <f aca="false">IF(OR(B533="",K533=""),"",IFERROR(K533-B533,""))</f>
        <v/>
      </c>
      <c r="P533" s="2" t="str">
        <f aca="false">IF(M533="","",IF(M533&gt;0,1,0))</f>
        <v/>
      </c>
    </row>
    <row r="534" customFormat="false" ht="15" hidden="false" customHeight="false" outlineLevel="0" collapsed="false">
      <c r="M534" s="24" t="str">
        <f aca="false">IF(OR(I534="",J534=""),"",IF(E534="Buy",(J534-I534)/I534,(I534-J534)/I534))</f>
        <v/>
      </c>
      <c r="N534" s="25" t="str">
        <f aca="false">IF(OR(I534="",J534="",I534=G534),"",IF(E534="Buy",(J534-I534)/(I534-G534),(I534-J534)/(G534-I534)))</f>
        <v/>
      </c>
      <c r="O534" s="2" t="str">
        <f aca="false">IF(OR(B534="",K534=""),"",IFERROR(K534-B534,""))</f>
        <v/>
      </c>
      <c r="P534" s="2" t="str">
        <f aca="false">IF(M534="","",IF(M534&gt;0,1,0))</f>
        <v/>
      </c>
    </row>
    <row r="535" customFormat="false" ht="15" hidden="false" customHeight="false" outlineLevel="0" collapsed="false">
      <c r="M535" s="24" t="str">
        <f aca="false">IF(OR(I535="",J535=""),"",IF(E535="Buy",(J535-I535)/I535,(I535-J535)/I535))</f>
        <v/>
      </c>
      <c r="N535" s="25" t="str">
        <f aca="false">IF(OR(I535="",J535="",I535=G535),"",IF(E535="Buy",(J535-I535)/(I535-G535),(I535-J535)/(G535-I535)))</f>
        <v/>
      </c>
      <c r="O535" s="2" t="str">
        <f aca="false">IF(OR(B535="",K535=""),"",IFERROR(K535-B535,""))</f>
        <v/>
      </c>
      <c r="P535" s="2" t="str">
        <f aca="false">IF(M535="","",IF(M535&gt;0,1,0))</f>
        <v/>
      </c>
    </row>
    <row r="536" customFormat="false" ht="15" hidden="false" customHeight="false" outlineLevel="0" collapsed="false">
      <c r="M536" s="24" t="str">
        <f aca="false">IF(OR(I536="",J536=""),"",IF(E536="Buy",(J536-I536)/I536,(I536-J536)/I536))</f>
        <v/>
      </c>
      <c r="N536" s="25" t="str">
        <f aca="false">IF(OR(I536="",J536="",I536=G536),"",IF(E536="Buy",(J536-I536)/(I536-G536),(I536-J536)/(G536-I536)))</f>
        <v/>
      </c>
      <c r="O536" s="2" t="str">
        <f aca="false">IF(OR(B536="",K536=""),"",IFERROR(K536-B536,""))</f>
        <v/>
      </c>
      <c r="P536" s="2" t="str">
        <f aca="false">IF(M536="","",IF(M536&gt;0,1,0))</f>
        <v/>
      </c>
    </row>
    <row r="537" customFormat="false" ht="15" hidden="false" customHeight="false" outlineLevel="0" collapsed="false">
      <c r="M537" s="24" t="str">
        <f aca="false">IF(OR(I537="",J537=""),"",IF(E537="Buy",(J537-I537)/I537,(I537-J537)/I537))</f>
        <v/>
      </c>
      <c r="N537" s="25" t="str">
        <f aca="false">IF(OR(I537="",J537="",I537=G537),"",IF(E537="Buy",(J537-I537)/(I537-G537),(I537-J537)/(G537-I537)))</f>
        <v/>
      </c>
      <c r="O537" s="2" t="str">
        <f aca="false">IF(OR(B537="",K537=""),"",IFERROR(K537-B537,""))</f>
        <v/>
      </c>
      <c r="P537" s="2" t="str">
        <f aca="false">IF(M537="","",IF(M537&gt;0,1,0))</f>
        <v/>
      </c>
    </row>
    <row r="538" customFormat="false" ht="15" hidden="false" customHeight="false" outlineLevel="0" collapsed="false">
      <c r="M538" s="24" t="str">
        <f aca="false">IF(OR(I538="",J538=""),"",IF(E538="Buy",(J538-I538)/I538,(I538-J538)/I538))</f>
        <v/>
      </c>
      <c r="N538" s="25" t="str">
        <f aca="false">IF(OR(I538="",J538="",I538=G538),"",IF(E538="Buy",(J538-I538)/(I538-G538),(I538-J538)/(G538-I538)))</f>
        <v/>
      </c>
      <c r="O538" s="2" t="str">
        <f aca="false">IF(OR(B538="",K538=""),"",IFERROR(K538-B538,""))</f>
        <v/>
      </c>
      <c r="P538" s="2" t="str">
        <f aca="false">IF(M538="","",IF(M538&gt;0,1,0))</f>
        <v/>
      </c>
    </row>
    <row r="539" customFormat="false" ht="15" hidden="false" customHeight="false" outlineLevel="0" collapsed="false">
      <c r="M539" s="24" t="str">
        <f aca="false">IF(OR(I539="",J539=""),"",IF(E539="Buy",(J539-I539)/I539,(I539-J539)/I539))</f>
        <v/>
      </c>
      <c r="N539" s="25" t="str">
        <f aca="false">IF(OR(I539="",J539="",I539=G539),"",IF(E539="Buy",(J539-I539)/(I539-G539),(I539-J539)/(G539-I539)))</f>
        <v/>
      </c>
      <c r="O539" s="2" t="str">
        <f aca="false">IF(OR(B539="",K539=""),"",IFERROR(K539-B539,""))</f>
        <v/>
      </c>
      <c r="P539" s="2" t="str">
        <f aca="false">IF(M539="","",IF(M539&gt;0,1,0))</f>
        <v/>
      </c>
    </row>
    <row r="540" customFormat="false" ht="15" hidden="false" customHeight="false" outlineLevel="0" collapsed="false">
      <c r="M540" s="24" t="str">
        <f aca="false">IF(OR(I540="",J540=""),"",IF(E540="Buy",(J540-I540)/I540,(I540-J540)/I540))</f>
        <v/>
      </c>
      <c r="N540" s="25" t="str">
        <f aca="false">IF(OR(I540="",J540="",I540=G540),"",IF(E540="Buy",(J540-I540)/(I540-G540),(I540-J540)/(G540-I540)))</f>
        <v/>
      </c>
      <c r="O540" s="2" t="str">
        <f aca="false">IF(OR(B540="",K540=""),"",IFERROR(K540-B540,""))</f>
        <v/>
      </c>
      <c r="P540" s="2" t="str">
        <f aca="false">IF(M540="","",IF(M540&gt;0,1,0))</f>
        <v/>
      </c>
    </row>
    <row r="541" customFormat="false" ht="15" hidden="false" customHeight="false" outlineLevel="0" collapsed="false">
      <c r="M541" s="24" t="str">
        <f aca="false">IF(OR(I541="",J541=""),"",IF(E541="Buy",(J541-I541)/I541,(I541-J541)/I541))</f>
        <v/>
      </c>
      <c r="N541" s="25" t="str">
        <f aca="false">IF(OR(I541="",J541="",I541=G541),"",IF(E541="Buy",(J541-I541)/(I541-G541),(I541-J541)/(G541-I541)))</f>
        <v/>
      </c>
      <c r="O541" s="2" t="str">
        <f aca="false">IF(OR(B541="",K541=""),"",IFERROR(K541-B541,""))</f>
        <v/>
      </c>
      <c r="P541" s="2" t="str">
        <f aca="false">IF(M541="","",IF(M541&gt;0,1,0))</f>
        <v/>
      </c>
    </row>
    <row r="542" customFormat="false" ht="15" hidden="false" customHeight="false" outlineLevel="0" collapsed="false">
      <c r="M542" s="24" t="str">
        <f aca="false">IF(OR(I542="",J542=""),"",IF(E542="Buy",(J542-I542)/I542,(I542-J542)/I542))</f>
        <v/>
      </c>
      <c r="N542" s="25" t="str">
        <f aca="false">IF(OR(I542="",J542="",I542=G542),"",IF(E542="Buy",(J542-I542)/(I542-G542),(I542-J542)/(G542-I542)))</f>
        <v/>
      </c>
      <c r="O542" s="2" t="str">
        <f aca="false">IF(OR(B542="",K542=""),"",IFERROR(K542-B542,""))</f>
        <v/>
      </c>
      <c r="P542" s="2" t="str">
        <f aca="false">IF(M542="","",IF(M542&gt;0,1,0))</f>
        <v/>
      </c>
    </row>
    <row r="543" customFormat="false" ht="15" hidden="false" customHeight="false" outlineLevel="0" collapsed="false">
      <c r="M543" s="24" t="str">
        <f aca="false">IF(OR(I543="",J543=""),"",IF(E543="Buy",(J543-I543)/I543,(I543-J543)/I543))</f>
        <v/>
      </c>
      <c r="N543" s="25" t="str">
        <f aca="false">IF(OR(I543="",J543="",I543=G543),"",IF(E543="Buy",(J543-I543)/(I543-G543),(I543-J543)/(G543-I543)))</f>
        <v/>
      </c>
      <c r="O543" s="2" t="str">
        <f aca="false">IF(OR(B543="",K543=""),"",IFERROR(K543-B543,""))</f>
        <v/>
      </c>
      <c r="P543" s="2" t="str">
        <f aca="false">IF(M543="","",IF(M543&gt;0,1,0))</f>
        <v/>
      </c>
    </row>
    <row r="544" customFormat="false" ht="15" hidden="false" customHeight="false" outlineLevel="0" collapsed="false">
      <c r="M544" s="24" t="str">
        <f aca="false">IF(OR(I544="",J544=""),"",IF(E544="Buy",(J544-I544)/I544,(I544-J544)/I544))</f>
        <v/>
      </c>
      <c r="N544" s="25" t="str">
        <f aca="false">IF(OR(I544="",J544="",I544=G544),"",IF(E544="Buy",(J544-I544)/(I544-G544),(I544-J544)/(G544-I544)))</f>
        <v/>
      </c>
      <c r="O544" s="2" t="str">
        <f aca="false">IF(OR(B544="",K544=""),"",IFERROR(K544-B544,""))</f>
        <v/>
      </c>
      <c r="P544" s="2" t="str">
        <f aca="false">IF(M544="","",IF(M544&gt;0,1,0))</f>
        <v/>
      </c>
    </row>
    <row r="545" customFormat="false" ht="15" hidden="false" customHeight="false" outlineLevel="0" collapsed="false">
      <c r="M545" s="24" t="str">
        <f aca="false">IF(OR(I545="",J545=""),"",IF(E545="Buy",(J545-I545)/I545,(I545-J545)/I545))</f>
        <v/>
      </c>
      <c r="N545" s="25" t="str">
        <f aca="false">IF(OR(I545="",J545="",I545=G545),"",IF(E545="Buy",(J545-I545)/(I545-G545),(I545-J545)/(G545-I545)))</f>
        <v/>
      </c>
      <c r="O545" s="2" t="str">
        <f aca="false">IF(OR(B545="",K545=""),"",IFERROR(K545-B545,""))</f>
        <v/>
      </c>
      <c r="P545" s="2" t="str">
        <f aca="false">IF(M545="","",IF(M545&gt;0,1,0))</f>
        <v/>
      </c>
    </row>
    <row r="546" customFormat="false" ht="15" hidden="false" customHeight="false" outlineLevel="0" collapsed="false">
      <c r="M546" s="24" t="str">
        <f aca="false">IF(OR(I546="",J546=""),"",IF(E546="Buy",(J546-I546)/I546,(I546-J546)/I546))</f>
        <v/>
      </c>
      <c r="N546" s="25" t="str">
        <f aca="false">IF(OR(I546="",J546="",I546=G546),"",IF(E546="Buy",(J546-I546)/(I546-G546),(I546-J546)/(G546-I546)))</f>
        <v/>
      </c>
      <c r="O546" s="2" t="str">
        <f aca="false">IF(OR(B546="",K546=""),"",IFERROR(K546-B546,""))</f>
        <v/>
      </c>
      <c r="P546" s="2" t="str">
        <f aca="false">IF(M546="","",IF(M546&gt;0,1,0))</f>
        <v/>
      </c>
    </row>
    <row r="547" customFormat="false" ht="15" hidden="false" customHeight="false" outlineLevel="0" collapsed="false">
      <c r="M547" s="24" t="str">
        <f aca="false">IF(OR(I547="",J547=""),"",IF(E547="Buy",(J547-I547)/I547,(I547-J547)/I547))</f>
        <v/>
      </c>
      <c r="N547" s="25" t="str">
        <f aca="false">IF(OR(I547="",J547="",I547=G547),"",IF(E547="Buy",(J547-I547)/(I547-G547),(I547-J547)/(G547-I547)))</f>
        <v/>
      </c>
      <c r="O547" s="2" t="str">
        <f aca="false">IF(OR(B547="",K547=""),"",IFERROR(K547-B547,""))</f>
        <v/>
      </c>
      <c r="P547" s="2" t="str">
        <f aca="false">IF(M547="","",IF(M547&gt;0,1,0))</f>
        <v/>
      </c>
    </row>
    <row r="548" customFormat="false" ht="15" hidden="false" customHeight="false" outlineLevel="0" collapsed="false">
      <c r="M548" s="24" t="str">
        <f aca="false">IF(OR(I548="",J548=""),"",IF(E548="Buy",(J548-I548)/I548,(I548-J548)/I548))</f>
        <v/>
      </c>
      <c r="N548" s="25" t="str">
        <f aca="false">IF(OR(I548="",J548="",I548=G548),"",IF(E548="Buy",(J548-I548)/(I548-G548),(I548-J548)/(G548-I548)))</f>
        <v/>
      </c>
      <c r="O548" s="2" t="str">
        <f aca="false">IF(OR(B548="",K548=""),"",IFERROR(K548-B548,""))</f>
        <v/>
      </c>
      <c r="P548" s="2" t="str">
        <f aca="false">IF(M548="","",IF(M548&gt;0,1,0))</f>
        <v/>
      </c>
    </row>
    <row r="549" customFormat="false" ht="15" hidden="false" customHeight="false" outlineLevel="0" collapsed="false">
      <c r="M549" s="24" t="str">
        <f aca="false">IF(OR(I549="",J549=""),"",IF(E549="Buy",(J549-I549)/I549,(I549-J549)/I549))</f>
        <v/>
      </c>
      <c r="N549" s="25" t="str">
        <f aca="false">IF(OR(I549="",J549="",I549=G549),"",IF(E549="Buy",(J549-I549)/(I549-G549),(I549-J549)/(G549-I549)))</f>
        <v/>
      </c>
      <c r="O549" s="2" t="str">
        <f aca="false">IF(OR(B549="",K549=""),"",IFERROR(K549-B549,""))</f>
        <v/>
      </c>
      <c r="P549" s="2" t="str">
        <f aca="false">IF(M549="","",IF(M549&gt;0,1,0))</f>
        <v/>
      </c>
    </row>
    <row r="550" customFormat="false" ht="15" hidden="false" customHeight="false" outlineLevel="0" collapsed="false">
      <c r="M550" s="24" t="str">
        <f aca="false">IF(OR(I550="",J550=""),"",IF(E550="Buy",(J550-I550)/I550,(I550-J550)/I550))</f>
        <v/>
      </c>
      <c r="N550" s="25" t="str">
        <f aca="false">IF(OR(I550="",J550="",I550=G550),"",IF(E550="Buy",(J550-I550)/(I550-G550),(I550-J550)/(G550-I550)))</f>
        <v/>
      </c>
      <c r="O550" s="2" t="str">
        <f aca="false">IF(OR(B550="",K550=""),"",IFERROR(K550-B550,""))</f>
        <v/>
      </c>
      <c r="P550" s="2" t="str">
        <f aca="false">IF(M550="","",IF(M550&gt;0,1,0))</f>
        <v/>
      </c>
    </row>
    <row r="551" customFormat="false" ht="15" hidden="false" customHeight="false" outlineLevel="0" collapsed="false">
      <c r="M551" s="24" t="str">
        <f aca="false">IF(OR(I551="",J551=""),"",IF(E551="Buy",(J551-I551)/I551,(I551-J551)/I551))</f>
        <v/>
      </c>
      <c r="N551" s="25" t="str">
        <f aca="false">IF(OR(I551="",J551="",I551=G551),"",IF(E551="Buy",(J551-I551)/(I551-G551),(I551-J551)/(G551-I551)))</f>
        <v/>
      </c>
      <c r="O551" s="2" t="str">
        <f aca="false">IF(OR(B551="",K551=""),"",IFERROR(K551-B551,""))</f>
        <v/>
      </c>
      <c r="P551" s="2" t="str">
        <f aca="false">IF(M551="","",IF(M551&gt;0,1,0))</f>
        <v/>
      </c>
    </row>
    <row r="552" customFormat="false" ht="15" hidden="false" customHeight="false" outlineLevel="0" collapsed="false">
      <c r="M552" s="24" t="str">
        <f aca="false">IF(OR(I552="",J552=""),"",IF(E552="Buy",(J552-I552)/I552,(I552-J552)/I552))</f>
        <v/>
      </c>
      <c r="N552" s="25" t="str">
        <f aca="false">IF(OR(I552="",J552="",I552=G552),"",IF(E552="Buy",(J552-I552)/(I552-G552),(I552-J552)/(G552-I552)))</f>
        <v/>
      </c>
      <c r="O552" s="2" t="str">
        <f aca="false">IF(OR(B552="",K552=""),"",IFERROR(K552-B552,""))</f>
        <v/>
      </c>
      <c r="P552" s="2" t="str">
        <f aca="false">IF(M552="","",IF(M552&gt;0,1,0))</f>
        <v/>
      </c>
    </row>
    <row r="553" customFormat="false" ht="15" hidden="false" customHeight="false" outlineLevel="0" collapsed="false">
      <c r="M553" s="24" t="str">
        <f aca="false">IF(OR(I553="",J553=""),"",IF(E553="Buy",(J553-I553)/I553,(I553-J553)/I553))</f>
        <v/>
      </c>
      <c r="N553" s="25" t="str">
        <f aca="false">IF(OR(I553="",J553="",I553=G553),"",IF(E553="Buy",(J553-I553)/(I553-G553),(I553-J553)/(G553-I553)))</f>
        <v/>
      </c>
      <c r="O553" s="2" t="str">
        <f aca="false">IF(OR(B553="",K553=""),"",IFERROR(K553-B553,""))</f>
        <v/>
      </c>
      <c r="P553" s="2" t="str">
        <f aca="false">IF(M553="","",IF(M553&gt;0,1,0))</f>
        <v/>
      </c>
    </row>
    <row r="554" customFormat="false" ht="15" hidden="false" customHeight="false" outlineLevel="0" collapsed="false">
      <c r="M554" s="24" t="str">
        <f aca="false">IF(OR(I554="",J554=""),"",IF(E554="Buy",(J554-I554)/I554,(I554-J554)/I554))</f>
        <v/>
      </c>
      <c r="N554" s="25" t="str">
        <f aca="false">IF(OR(I554="",J554="",I554=G554),"",IF(E554="Buy",(J554-I554)/(I554-G554),(I554-J554)/(G554-I554)))</f>
        <v/>
      </c>
      <c r="O554" s="2" t="str">
        <f aca="false">IF(OR(B554="",K554=""),"",IFERROR(K554-B554,""))</f>
        <v/>
      </c>
      <c r="P554" s="2" t="str">
        <f aca="false">IF(M554="","",IF(M554&gt;0,1,0))</f>
        <v/>
      </c>
    </row>
    <row r="555" customFormat="false" ht="15" hidden="false" customHeight="false" outlineLevel="0" collapsed="false">
      <c r="M555" s="24" t="str">
        <f aca="false">IF(OR(I555="",J555=""),"",IF(E555="Buy",(J555-I555)/I555,(I555-J555)/I555))</f>
        <v/>
      </c>
      <c r="N555" s="25" t="str">
        <f aca="false">IF(OR(I555="",J555="",I555=G555),"",IF(E555="Buy",(J555-I555)/(I555-G555),(I555-J555)/(G555-I555)))</f>
        <v/>
      </c>
      <c r="O555" s="2" t="str">
        <f aca="false">IF(OR(B555="",K555=""),"",IFERROR(K555-B555,""))</f>
        <v/>
      </c>
      <c r="P555" s="2" t="str">
        <f aca="false">IF(M555="","",IF(M555&gt;0,1,0))</f>
        <v/>
      </c>
    </row>
    <row r="556" customFormat="false" ht="15" hidden="false" customHeight="false" outlineLevel="0" collapsed="false">
      <c r="M556" s="24" t="str">
        <f aca="false">IF(OR(I556="",J556=""),"",IF(E556="Buy",(J556-I556)/I556,(I556-J556)/I556))</f>
        <v/>
      </c>
      <c r="N556" s="25" t="str">
        <f aca="false">IF(OR(I556="",J556="",I556=G556),"",IF(E556="Buy",(J556-I556)/(I556-G556),(I556-J556)/(G556-I556)))</f>
        <v/>
      </c>
      <c r="O556" s="2" t="str">
        <f aca="false">IF(OR(B556="",K556=""),"",IFERROR(K556-B556,""))</f>
        <v/>
      </c>
      <c r="P556" s="2" t="str">
        <f aca="false">IF(M556="","",IF(M556&gt;0,1,0))</f>
        <v/>
      </c>
    </row>
    <row r="557" customFormat="false" ht="15" hidden="false" customHeight="false" outlineLevel="0" collapsed="false">
      <c r="M557" s="24" t="str">
        <f aca="false">IF(OR(I557="",J557=""),"",IF(E557="Buy",(J557-I557)/I557,(I557-J557)/I557))</f>
        <v/>
      </c>
      <c r="N557" s="25" t="str">
        <f aca="false">IF(OR(I557="",J557="",I557=G557),"",IF(E557="Buy",(J557-I557)/(I557-G557),(I557-J557)/(G557-I557)))</f>
        <v/>
      </c>
      <c r="O557" s="2" t="str">
        <f aca="false">IF(OR(B557="",K557=""),"",IFERROR(K557-B557,""))</f>
        <v/>
      </c>
      <c r="P557" s="2" t="str">
        <f aca="false">IF(M557="","",IF(M557&gt;0,1,0))</f>
        <v/>
      </c>
    </row>
    <row r="558" customFormat="false" ht="15" hidden="false" customHeight="false" outlineLevel="0" collapsed="false">
      <c r="M558" s="24" t="str">
        <f aca="false">IF(OR(I558="",J558=""),"",IF(E558="Buy",(J558-I558)/I558,(I558-J558)/I558))</f>
        <v/>
      </c>
      <c r="N558" s="25" t="str">
        <f aca="false">IF(OR(I558="",J558="",I558=G558),"",IF(E558="Buy",(J558-I558)/(I558-G558),(I558-J558)/(G558-I558)))</f>
        <v/>
      </c>
      <c r="O558" s="2" t="str">
        <f aca="false">IF(OR(B558="",K558=""),"",IFERROR(K558-B558,""))</f>
        <v/>
      </c>
      <c r="P558" s="2" t="str">
        <f aca="false">IF(M558="","",IF(M558&gt;0,1,0))</f>
        <v/>
      </c>
    </row>
    <row r="559" customFormat="false" ht="15" hidden="false" customHeight="false" outlineLevel="0" collapsed="false">
      <c r="M559" s="24" t="str">
        <f aca="false">IF(OR(I559="",J559=""),"",IF(E559="Buy",(J559-I559)/I559,(I559-J559)/I559))</f>
        <v/>
      </c>
      <c r="N559" s="25" t="str">
        <f aca="false">IF(OR(I559="",J559="",I559=G559),"",IF(E559="Buy",(J559-I559)/(I559-G559),(I559-J559)/(G559-I559)))</f>
        <v/>
      </c>
      <c r="O559" s="2" t="str">
        <f aca="false">IF(OR(B559="",K559=""),"",IFERROR(K559-B559,""))</f>
        <v/>
      </c>
      <c r="P559" s="2" t="str">
        <f aca="false">IF(M559="","",IF(M559&gt;0,1,0))</f>
        <v/>
      </c>
    </row>
    <row r="560" customFormat="false" ht="15" hidden="false" customHeight="false" outlineLevel="0" collapsed="false">
      <c r="M560" s="24" t="str">
        <f aca="false">IF(OR(I560="",J560=""),"",IF(E560="Buy",(J560-I560)/I560,(I560-J560)/I560))</f>
        <v/>
      </c>
      <c r="N560" s="25" t="str">
        <f aca="false">IF(OR(I560="",J560="",I560=G560),"",IF(E560="Buy",(J560-I560)/(I560-G560),(I560-J560)/(G560-I560)))</f>
        <v/>
      </c>
      <c r="O560" s="2" t="str">
        <f aca="false">IF(OR(B560="",K560=""),"",IFERROR(K560-B560,""))</f>
        <v/>
      </c>
      <c r="P560" s="2" t="str">
        <f aca="false">IF(M560="","",IF(M560&gt;0,1,0))</f>
        <v/>
      </c>
    </row>
    <row r="561" customFormat="false" ht="15" hidden="false" customHeight="false" outlineLevel="0" collapsed="false">
      <c r="M561" s="24" t="str">
        <f aca="false">IF(OR(I561="",J561=""),"",IF(E561="Buy",(J561-I561)/I561,(I561-J561)/I561))</f>
        <v/>
      </c>
      <c r="N561" s="25" t="str">
        <f aca="false">IF(OR(I561="",J561="",I561=G561),"",IF(E561="Buy",(J561-I561)/(I561-G561),(I561-J561)/(G561-I561)))</f>
        <v/>
      </c>
      <c r="O561" s="2" t="str">
        <f aca="false">IF(OR(B561="",K561=""),"",IFERROR(K561-B561,""))</f>
        <v/>
      </c>
      <c r="P561" s="2" t="str">
        <f aca="false">IF(M561="","",IF(M561&gt;0,1,0))</f>
        <v/>
      </c>
    </row>
    <row r="562" customFormat="false" ht="15" hidden="false" customHeight="false" outlineLevel="0" collapsed="false">
      <c r="M562" s="24" t="str">
        <f aca="false">IF(OR(I562="",J562=""),"",IF(E562="Buy",(J562-I562)/I562,(I562-J562)/I562))</f>
        <v/>
      </c>
      <c r="N562" s="25" t="str">
        <f aca="false">IF(OR(I562="",J562="",I562=G562),"",IF(E562="Buy",(J562-I562)/(I562-G562),(I562-J562)/(G562-I562)))</f>
        <v/>
      </c>
      <c r="O562" s="2" t="str">
        <f aca="false">IF(OR(B562="",K562=""),"",IFERROR(K562-B562,""))</f>
        <v/>
      </c>
      <c r="P562" s="2" t="str">
        <f aca="false">IF(M562="","",IF(M562&gt;0,1,0))</f>
        <v/>
      </c>
    </row>
    <row r="563" customFormat="false" ht="15" hidden="false" customHeight="false" outlineLevel="0" collapsed="false">
      <c r="M563" s="24" t="str">
        <f aca="false">IF(OR(I563="",J563=""),"",IF(E563="Buy",(J563-I563)/I563,(I563-J563)/I563))</f>
        <v/>
      </c>
      <c r="N563" s="25" t="str">
        <f aca="false">IF(OR(I563="",J563="",I563=G563),"",IF(E563="Buy",(J563-I563)/(I563-G563),(I563-J563)/(G563-I563)))</f>
        <v/>
      </c>
      <c r="O563" s="2" t="str">
        <f aca="false">IF(OR(B563="",K563=""),"",IFERROR(K563-B563,""))</f>
        <v/>
      </c>
      <c r="P563" s="2" t="str">
        <f aca="false">IF(M563="","",IF(M563&gt;0,1,0))</f>
        <v/>
      </c>
    </row>
    <row r="564" customFormat="false" ht="15" hidden="false" customHeight="false" outlineLevel="0" collapsed="false">
      <c r="M564" s="24" t="str">
        <f aca="false">IF(OR(I564="",J564=""),"",IF(E564="Buy",(J564-I564)/I564,(I564-J564)/I564))</f>
        <v/>
      </c>
      <c r="N564" s="25" t="str">
        <f aca="false">IF(OR(I564="",J564="",I564=G564),"",IF(E564="Buy",(J564-I564)/(I564-G564),(I564-J564)/(G564-I564)))</f>
        <v/>
      </c>
      <c r="O564" s="2" t="str">
        <f aca="false">IF(OR(B564="",K564=""),"",IFERROR(K564-B564,""))</f>
        <v/>
      </c>
      <c r="P564" s="2" t="str">
        <f aca="false">IF(M564="","",IF(M564&gt;0,1,0))</f>
        <v/>
      </c>
    </row>
    <row r="565" customFormat="false" ht="15" hidden="false" customHeight="false" outlineLevel="0" collapsed="false">
      <c r="M565" s="24" t="str">
        <f aca="false">IF(OR(I565="",J565=""),"",IF(E565="Buy",(J565-I565)/I565,(I565-J565)/I565))</f>
        <v/>
      </c>
      <c r="N565" s="25" t="str">
        <f aca="false">IF(OR(I565="",J565="",I565=G565),"",IF(E565="Buy",(J565-I565)/(I565-G565),(I565-J565)/(G565-I565)))</f>
        <v/>
      </c>
      <c r="O565" s="2" t="str">
        <f aca="false">IF(OR(B565="",K565=""),"",IFERROR(K565-B565,""))</f>
        <v/>
      </c>
      <c r="P565" s="2" t="str">
        <f aca="false">IF(M565="","",IF(M565&gt;0,1,0))</f>
        <v/>
      </c>
    </row>
    <row r="566" customFormat="false" ht="15" hidden="false" customHeight="false" outlineLevel="0" collapsed="false">
      <c r="M566" s="24" t="str">
        <f aca="false">IF(OR(I566="",J566=""),"",IF(E566="Buy",(J566-I566)/I566,(I566-J566)/I566))</f>
        <v/>
      </c>
      <c r="N566" s="25" t="str">
        <f aca="false">IF(OR(I566="",J566="",I566=G566),"",IF(E566="Buy",(J566-I566)/(I566-G566),(I566-J566)/(G566-I566)))</f>
        <v/>
      </c>
      <c r="O566" s="2" t="str">
        <f aca="false">IF(OR(B566="",K566=""),"",IFERROR(K566-B566,""))</f>
        <v/>
      </c>
      <c r="P566" s="2" t="str">
        <f aca="false">IF(M566="","",IF(M566&gt;0,1,0))</f>
        <v/>
      </c>
    </row>
    <row r="567" customFormat="false" ht="15" hidden="false" customHeight="false" outlineLevel="0" collapsed="false">
      <c r="M567" s="24" t="str">
        <f aca="false">IF(OR(I567="",J567=""),"",IF(E567="Buy",(J567-I567)/I567,(I567-J567)/I567))</f>
        <v/>
      </c>
      <c r="N567" s="25" t="str">
        <f aca="false">IF(OR(I567="",J567="",I567=G567),"",IF(E567="Buy",(J567-I567)/(I567-G567),(I567-J567)/(G567-I567)))</f>
        <v/>
      </c>
      <c r="O567" s="2" t="str">
        <f aca="false">IF(OR(B567="",K567=""),"",IFERROR(K567-B567,""))</f>
        <v/>
      </c>
      <c r="P567" s="2" t="str">
        <f aca="false">IF(M567="","",IF(M567&gt;0,1,0))</f>
        <v/>
      </c>
    </row>
    <row r="568" customFormat="false" ht="15" hidden="false" customHeight="false" outlineLevel="0" collapsed="false">
      <c r="M568" s="24" t="str">
        <f aca="false">IF(OR(I568="",J568=""),"",IF(E568="Buy",(J568-I568)/I568,(I568-J568)/I568))</f>
        <v/>
      </c>
      <c r="N568" s="25" t="str">
        <f aca="false">IF(OR(I568="",J568="",I568=G568),"",IF(E568="Buy",(J568-I568)/(I568-G568),(I568-J568)/(G568-I568)))</f>
        <v/>
      </c>
      <c r="O568" s="2" t="str">
        <f aca="false">IF(OR(B568="",K568=""),"",IFERROR(K568-B568,""))</f>
        <v/>
      </c>
      <c r="P568" s="2" t="str">
        <f aca="false">IF(M568="","",IF(M568&gt;0,1,0))</f>
        <v/>
      </c>
    </row>
    <row r="569" customFormat="false" ht="15" hidden="false" customHeight="false" outlineLevel="0" collapsed="false">
      <c r="M569" s="24" t="str">
        <f aca="false">IF(OR(I569="",J569=""),"",IF(E569="Buy",(J569-I569)/I569,(I569-J569)/I569))</f>
        <v/>
      </c>
      <c r="N569" s="25" t="str">
        <f aca="false">IF(OR(I569="",J569="",I569=G569),"",IF(E569="Buy",(J569-I569)/(I569-G569),(I569-J569)/(G569-I569)))</f>
        <v/>
      </c>
      <c r="O569" s="2" t="str">
        <f aca="false">IF(OR(B569="",K569=""),"",IFERROR(K569-B569,""))</f>
        <v/>
      </c>
      <c r="P569" s="2" t="str">
        <f aca="false">IF(M569="","",IF(M569&gt;0,1,0))</f>
        <v/>
      </c>
    </row>
    <row r="570" customFormat="false" ht="15" hidden="false" customHeight="false" outlineLevel="0" collapsed="false">
      <c r="M570" s="24" t="str">
        <f aca="false">IF(OR(I570="",J570=""),"",IF(E570="Buy",(J570-I570)/I570,(I570-J570)/I570))</f>
        <v/>
      </c>
      <c r="N570" s="25" t="str">
        <f aca="false">IF(OR(I570="",J570="",I570=G570),"",IF(E570="Buy",(J570-I570)/(I570-G570),(I570-J570)/(G570-I570)))</f>
        <v/>
      </c>
      <c r="O570" s="2" t="str">
        <f aca="false">IF(OR(B570="",K570=""),"",IFERROR(K570-B570,""))</f>
        <v/>
      </c>
      <c r="P570" s="2" t="str">
        <f aca="false">IF(M570="","",IF(M570&gt;0,1,0))</f>
        <v/>
      </c>
    </row>
    <row r="571" customFormat="false" ht="15" hidden="false" customHeight="false" outlineLevel="0" collapsed="false">
      <c r="M571" s="24" t="str">
        <f aca="false">IF(OR(I571="",J571=""),"",IF(E571="Buy",(J571-I571)/I571,(I571-J571)/I571))</f>
        <v/>
      </c>
      <c r="N571" s="25" t="str">
        <f aca="false">IF(OR(I571="",J571="",I571=G571),"",IF(E571="Buy",(J571-I571)/(I571-G571),(I571-J571)/(G571-I571)))</f>
        <v/>
      </c>
      <c r="O571" s="2" t="str">
        <f aca="false">IF(OR(B571="",K571=""),"",IFERROR(K571-B571,""))</f>
        <v/>
      </c>
      <c r="P571" s="2" t="str">
        <f aca="false">IF(M571="","",IF(M571&gt;0,1,0))</f>
        <v/>
      </c>
    </row>
    <row r="572" customFormat="false" ht="15" hidden="false" customHeight="false" outlineLevel="0" collapsed="false">
      <c r="M572" s="24" t="str">
        <f aca="false">IF(OR(I572="",J572=""),"",IF(E572="Buy",(J572-I572)/I572,(I572-J572)/I572))</f>
        <v/>
      </c>
      <c r="N572" s="25" t="str">
        <f aca="false">IF(OR(I572="",J572="",I572=G572),"",IF(E572="Buy",(J572-I572)/(I572-G572),(I572-J572)/(G572-I572)))</f>
        <v/>
      </c>
      <c r="O572" s="2" t="str">
        <f aca="false">IF(OR(B572="",K572=""),"",IFERROR(K572-B572,""))</f>
        <v/>
      </c>
      <c r="P572" s="2" t="str">
        <f aca="false">IF(M572="","",IF(M572&gt;0,1,0))</f>
        <v/>
      </c>
    </row>
    <row r="573" customFormat="false" ht="15" hidden="false" customHeight="false" outlineLevel="0" collapsed="false">
      <c r="M573" s="24" t="str">
        <f aca="false">IF(OR(I573="",J573=""),"",IF(E573="Buy",(J573-I573)/I573,(I573-J573)/I573))</f>
        <v/>
      </c>
      <c r="N573" s="25" t="str">
        <f aca="false">IF(OR(I573="",J573="",I573=G573),"",IF(E573="Buy",(J573-I573)/(I573-G573),(I573-J573)/(G573-I573)))</f>
        <v/>
      </c>
      <c r="O573" s="2" t="str">
        <f aca="false">IF(OR(B573="",K573=""),"",IFERROR(K573-B573,""))</f>
        <v/>
      </c>
      <c r="P573" s="2" t="str">
        <f aca="false">IF(M573="","",IF(M573&gt;0,1,0))</f>
        <v/>
      </c>
    </row>
    <row r="574" customFormat="false" ht="15" hidden="false" customHeight="false" outlineLevel="0" collapsed="false">
      <c r="M574" s="24" t="str">
        <f aca="false">IF(OR(I574="",J574=""),"",IF(E574="Buy",(J574-I574)/I574,(I574-J574)/I574))</f>
        <v/>
      </c>
      <c r="N574" s="25" t="str">
        <f aca="false">IF(OR(I574="",J574="",I574=G574),"",IF(E574="Buy",(J574-I574)/(I574-G574),(I574-J574)/(G574-I574)))</f>
        <v/>
      </c>
      <c r="O574" s="2" t="str">
        <f aca="false">IF(OR(B574="",K574=""),"",IFERROR(K574-B574,""))</f>
        <v/>
      </c>
      <c r="P574" s="2" t="str">
        <f aca="false">IF(M574="","",IF(M574&gt;0,1,0))</f>
        <v/>
      </c>
    </row>
    <row r="575" customFormat="false" ht="15" hidden="false" customHeight="false" outlineLevel="0" collapsed="false">
      <c r="M575" s="24" t="str">
        <f aca="false">IF(OR(I575="",J575=""),"",IF(E575="Buy",(J575-I575)/I575,(I575-J575)/I575))</f>
        <v/>
      </c>
      <c r="N575" s="25" t="str">
        <f aca="false">IF(OR(I575="",J575="",I575=G575),"",IF(E575="Buy",(J575-I575)/(I575-G575),(I575-J575)/(G575-I575)))</f>
        <v/>
      </c>
      <c r="O575" s="2" t="str">
        <f aca="false">IF(OR(B575="",K575=""),"",IFERROR(K575-B575,""))</f>
        <v/>
      </c>
      <c r="P575" s="2" t="str">
        <f aca="false">IF(M575="","",IF(M575&gt;0,1,0))</f>
        <v/>
      </c>
    </row>
    <row r="576" customFormat="false" ht="15" hidden="false" customHeight="false" outlineLevel="0" collapsed="false">
      <c r="M576" s="24" t="str">
        <f aca="false">IF(OR(I576="",J576=""),"",IF(E576="Buy",(J576-I576)/I576,(I576-J576)/I576))</f>
        <v/>
      </c>
      <c r="N576" s="25" t="str">
        <f aca="false">IF(OR(I576="",J576="",I576=G576),"",IF(E576="Buy",(J576-I576)/(I576-G576),(I576-J576)/(G576-I576)))</f>
        <v/>
      </c>
      <c r="O576" s="2" t="str">
        <f aca="false">IF(OR(B576="",K576=""),"",IFERROR(K576-B576,""))</f>
        <v/>
      </c>
      <c r="P576" s="2" t="str">
        <f aca="false">IF(M576="","",IF(M576&gt;0,1,0))</f>
        <v/>
      </c>
    </row>
    <row r="577" customFormat="false" ht="15" hidden="false" customHeight="false" outlineLevel="0" collapsed="false">
      <c r="M577" s="24" t="str">
        <f aca="false">IF(OR(I577="",J577=""),"",IF(E577="Buy",(J577-I577)/I577,(I577-J577)/I577))</f>
        <v/>
      </c>
      <c r="N577" s="25" t="str">
        <f aca="false">IF(OR(I577="",J577="",I577=G577),"",IF(E577="Buy",(J577-I577)/(I577-G577),(I577-J577)/(G577-I577)))</f>
        <v/>
      </c>
      <c r="O577" s="2" t="str">
        <f aca="false">IF(OR(B577="",K577=""),"",IFERROR(K577-B577,""))</f>
        <v/>
      </c>
      <c r="P577" s="2" t="str">
        <f aca="false">IF(M577="","",IF(M577&gt;0,1,0))</f>
        <v/>
      </c>
    </row>
    <row r="578" customFormat="false" ht="15" hidden="false" customHeight="false" outlineLevel="0" collapsed="false">
      <c r="M578" s="24" t="str">
        <f aca="false">IF(OR(I578="",J578=""),"",IF(E578="Buy",(J578-I578)/I578,(I578-J578)/I578))</f>
        <v/>
      </c>
      <c r="N578" s="25" t="str">
        <f aca="false">IF(OR(I578="",J578="",I578=G578),"",IF(E578="Buy",(J578-I578)/(I578-G578),(I578-J578)/(G578-I578)))</f>
        <v/>
      </c>
      <c r="O578" s="2" t="str">
        <f aca="false">IF(OR(B578="",K578=""),"",IFERROR(K578-B578,""))</f>
        <v/>
      </c>
      <c r="P578" s="2" t="str">
        <f aca="false">IF(M578="","",IF(M578&gt;0,1,0))</f>
        <v/>
      </c>
    </row>
    <row r="579" customFormat="false" ht="15" hidden="false" customHeight="false" outlineLevel="0" collapsed="false">
      <c r="M579" s="24" t="str">
        <f aca="false">IF(OR(I579="",J579=""),"",IF(E579="Buy",(J579-I579)/I579,(I579-J579)/I579))</f>
        <v/>
      </c>
      <c r="N579" s="25" t="str">
        <f aca="false">IF(OR(I579="",J579="",I579=G579),"",IF(E579="Buy",(J579-I579)/(I579-G579),(I579-J579)/(G579-I579)))</f>
        <v/>
      </c>
      <c r="O579" s="2" t="str">
        <f aca="false">IF(OR(B579="",K579=""),"",IFERROR(K579-B579,""))</f>
        <v/>
      </c>
      <c r="P579" s="2" t="str">
        <f aca="false">IF(M579="","",IF(M579&gt;0,1,0))</f>
        <v/>
      </c>
    </row>
    <row r="580" customFormat="false" ht="15" hidden="false" customHeight="false" outlineLevel="0" collapsed="false">
      <c r="M580" s="24" t="str">
        <f aca="false">IF(OR(I580="",J580=""),"",IF(E580="Buy",(J580-I580)/I580,(I580-J580)/I580))</f>
        <v/>
      </c>
      <c r="N580" s="25" t="str">
        <f aca="false">IF(OR(I580="",J580="",I580=G580),"",IF(E580="Buy",(J580-I580)/(I580-G580),(I580-J580)/(G580-I580)))</f>
        <v/>
      </c>
      <c r="O580" s="2" t="str">
        <f aca="false">IF(OR(B580="",K580=""),"",IFERROR(K580-B580,""))</f>
        <v/>
      </c>
      <c r="P580" s="2" t="str">
        <f aca="false">IF(M580="","",IF(M580&gt;0,1,0))</f>
        <v/>
      </c>
    </row>
    <row r="581" customFormat="false" ht="15" hidden="false" customHeight="false" outlineLevel="0" collapsed="false">
      <c r="M581" s="24" t="str">
        <f aca="false">IF(OR(I581="",J581=""),"",IF(E581="Buy",(J581-I581)/I581,(I581-J581)/I581))</f>
        <v/>
      </c>
      <c r="N581" s="25" t="str">
        <f aca="false">IF(OR(I581="",J581="",I581=G581),"",IF(E581="Buy",(J581-I581)/(I581-G581),(I581-J581)/(G581-I581)))</f>
        <v/>
      </c>
      <c r="O581" s="2" t="str">
        <f aca="false">IF(OR(B581="",K581=""),"",IFERROR(K581-B581,""))</f>
        <v/>
      </c>
      <c r="P581" s="2" t="str">
        <f aca="false">IF(M581="","",IF(M581&gt;0,1,0))</f>
        <v/>
      </c>
    </row>
    <row r="582" customFormat="false" ht="15" hidden="false" customHeight="false" outlineLevel="0" collapsed="false">
      <c r="M582" s="24" t="str">
        <f aca="false">IF(OR(I582="",J582=""),"",IF(E582="Buy",(J582-I582)/I582,(I582-J582)/I582))</f>
        <v/>
      </c>
      <c r="N582" s="25" t="str">
        <f aca="false">IF(OR(I582="",J582="",I582=G582),"",IF(E582="Buy",(J582-I582)/(I582-G582),(I582-J582)/(G582-I582)))</f>
        <v/>
      </c>
      <c r="O582" s="2" t="str">
        <f aca="false">IF(OR(B582="",K582=""),"",IFERROR(K582-B582,""))</f>
        <v/>
      </c>
      <c r="P582" s="2" t="str">
        <f aca="false">IF(M582="","",IF(M582&gt;0,1,0))</f>
        <v/>
      </c>
    </row>
    <row r="583" customFormat="false" ht="15" hidden="false" customHeight="false" outlineLevel="0" collapsed="false">
      <c r="M583" s="24" t="str">
        <f aca="false">IF(OR(I583="",J583=""),"",IF(E583="Buy",(J583-I583)/I583,(I583-J583)/I583))</f>
        <v/>
      </c>
      <c r="N583" s="25" t="str">
        <f aca="false">IF(OR(I583="",J583="",I583=G583),"",IF(E583="Buy",(J583-I583)/(I583-G583),(I583-J583)/(G583-I583)))</f>
        <v/>
      </c>
      <c r="O583" s="2" t="str">
        <f aca="false">IF(OR(B583="",K583=""),"",IFERROR(K583-B583,""))</f>
        <v/>
      </c>
      <c r="P583" s="2" t="str">
        <f aca="false">IF(M583="","",IF(M583&gt;0,1,0))</f>
        <v/>
      </c>
    </row>
    <row r="584" customFormat="false" ht="15" hidden="false" customHeight="false" outlineLevel="0" collapsed="false">
      <c r="M584" s="24" t="str">
        <f aca="false">IF(OR(I584="",J584=""),"",IF(E584="Buy",(J584-I584)/I584,(I584-J584)/I584))</f>
        <v/>
      </c>
      <c r="N584" s="25" t="str">
        <f aca="false">IF(OR(I584="",J584="",I584=G584),"",IF(E584="Buy",(J584-I584)/(I584-G584),(I584-J584)/(G584-I584)))</f>
        <v/>
      </c>
      <c r="O584" s="2" t="str">
        <f aca="false">IF(OR(B584="",K584=""),"",IFERROR(K584-B584,""))</f>
        <v/>
      </c>
      <c r="P584" s="2" t="str">
        <f aca="false">IF(M584="","",IF(M584&gt;0,1,0))</f>
        <v/>
      </c>
    </row>
    <row r="585" customFormat="false" ht="15" hidden="false" customHeight="false" outlineLevel="0" collapsed="false">
      <c r="M585" s="24" t="str">
        <f aca="false">IF(OR(I585="",J585=""),"",IF(E585="Buy",(J585-I585)/I585,(I585-J585)/I585))</f>
        <v/>
      </c>
      <c r="N585" s="25" t="str">
        <f aca="false">IF(OR(I585="",J585="",I585=G585),"",IF(E585="Buy",(J585-I585)/(I585-G585),(I585-J585)/(G585-I585)))</f>
        <v/>
      </c>
      <c r="O585" s="2" t="str">
        <f aca="false">IF(OR(B585="",K585=""),"",IFERROR(K585-B585,""))</f>
        <v/>
      </c>
      <c r="P585" s="2" t="str">
        <f aca="false">IF(M585="","",IF(M585&gt;0,1,0))</f>
        <v/>
      </c>
    </row>
    <row r="586" customFormat="false" ht="15" hidden="false" customHeight="false" outlineLevel="0" collapsed="false">
      <c r="M586" s="24" t="str">
        <f aca="false">IF(OR(I586="",J586=""),"",IF(E586="Buy",(J586-I586)/I586,(I586-J586)/I586))</f>
        <v/>
      </c>
      <c r="N586" s="25" t="str">
        <f aca="false">IF(OR(I586="",J586="",I586=G586),"",IF(E586="Buy",(J586-I586)/(I586-G586),(I586-J586)/(G586-I586)))</f>
        <v/>
      </c>
      <c r="O586" s="2" t="str">
        <f aca="false">IF(OR(B586="",K586=""),"",IFERROR(K586-B586,""))</f>
        <v/>
      </c>
      <c r="P586" s="2" t="str">
        <f aca="false">IF(M586="","",IF(M586&gt;0,1,0))</f>
        <v/>
      </c>
    </row>
    <row r="587" customFormat="false" ht="15" hidden="false" customHeight="false" outlineLevel="0" collapsed="false">
      <c r="M587" s="24" t="str">
        <f aca="false">IF(OR(I587="",J587=""),"",IF(E587="Buy",(J587-I587)/I587,(I587-J587)/I587))</f>
        <v/>
      </c>
      <c r="N587" s="25" t="str">
        <f aca="false">IF(OR(I587="",J587="",I587=G587),"",IF(E587="Buy",(J587-I587)/(I587-G587),(I587-J587)/(G587-I587)))</f>
        <v/>
      </c>
      <c r="O587" s="2" t="str">
        <f aca="false">IF(OR(B587="",K587=""),"",IFERROR(K587-B587,""))</f>
        <v/>
      </c>
      <c r="P587" s="2" t="str">
        <f aca="false">IF(M587="","",IF(M587&gt;0,1,0))</f>
        <v/>
      </c>
    </row>
    <row r="588" customFormat="false" ht="15" hidden="false" customHeight="false" outlineLevel="0" collapsed="false">
      <c r="M588" s="24" t="str">
        <f aca="false">IF(OR(I588="",J588=""),"",IF(E588="Buy",(J588-I588)/I588,(I588-J588)/I588))</f>
        <v/>
      </c>
      <c r="N588" s="25" t="str">
        <f aca="false">IF(OR(I588="",J588="",I588=G588),"",IF(E588="Buy",(J588-I588)/(I588-G588),(I588-J588)/(G588-I588)))</f>
        <v/>
      </c>
      <c r="O588" s="2" t="str">
        <f aca="false">IF(OR(B588="",K588=""),"",IFERROR(K588-B588,""))</f>
        <v/>
      </c>
      <c r="P588" s="2" t="str">
        <f aca="false">IF(M588="","",IF(M588&gt;0,1,0))</f>
        <v/>
      </c>
    </row>
    <row r="589" customFormat="false" ht="15" hidden="false" customHeight="false" outlineLevel="0" collapsed="false">
      <c r="M589" s="24" t="str">
        <f aca="false">IF(OR(I589="",J589=""),"",IF(E589="Buy",(J589-I589)/I589,(I589-J589)/I589))</f>
        <v/>
      </c>
      <c r="N589" s="25" t="str">
        <f aca="false">IF(OR(I589="",J589="",I589=G589),"",IF(E589="Buy",(J589-I589)/(I589-G589),(I589-J589)/(G589-I589)))</f>
        <v/>
      </c>
      <c r="O589" s="2" t="str">
        <f aca="false">IF(OR(B589="",K589=""),"",IFERROR(K589-B589,""))</f>
        <v/>
      </c>
      <c r="P589" s="2" t="str">
        <f aca="false">IF(M589="","",IF(M589&gt;0,1,0))</f>
        <v/>
      </c>
    </row>
    <row r="590" customFormat="false" ht="15" hidden="false" customHeight="false" outlineLevel="0" collapsed="false">
      <c r="M590" s="24" t="str">
        <f aca="false">IF(OR(I590="",J590=""),"",IF(E590="Buy",(J590-I590)/I590,(I590-J590)/I590))</f>
        <v/>
      </c>
      <c r="N590" s="25" t="str">
        <f aca="false">IF(OR(I590="",J590="",I590=G590),"",IF(E590="Buy",(J590-I590)/(I590-G590),(I590-J590)/(G590-I590)))</f>
        <v/>
      </c>
      <c r="O590" s="2" t="str">
        <f aca="false">IF(OR(B590="",K590=""),"",IFERROR(K590-B590,""))</f>
        <v/>
      </c>
      <c r="P590" s="2" t="str">
        <f aca="false">IF(M590="","",IF(M590&gt;0,1,0))</f>
        <v/>
      </c>
    </row>
    <row r="591" customFormat="false" ht="15" hidden="false" customHeight="false" outlineLevel="0" collapsed="false">
      <c r="M591" s="24" t="str">
        <f aca="false">IF(OR(I591="",J591=""),"",IF(E591="Buy",(J591-I591)/I591,(I591-J591)/I591))</f>
        <v/>
      </c>
      <c r="N591" s="25" t="str">
        <f aca="false">IF(OR(I591="",J591="",I591=G591),"",IF(E591="Buy",(J591-I591)/(I591-G591),(I591-J591)/(G591-I591)))</f>
        <v/>
      </c>
      <c r="O591" s="2" t="str">
        <f aca="false">IF(OR(B591="",K591=""),"",IFERROR(K591-B591,""))</f>
        <v/>
      </c>
      <c r="P591" s="2" t="str">
        <f aca="false">IF(M591="","",IF(M591&gt;0,1,0))</f>
        <v/>
      </c>
    </row>
    <row r="592" customFormat="false" ht="15" hidden="false" customHeight="false" outlineLevel="0" collapsed="false">
      <c r="M592" s="24" t="str">
        <f aca="false">IF(OR(I592="",J592=""),"",IF(E592="Buy",(J592-I592)/I592,(I592-J592)/I592))</f>
        <v/>
      </c>
      <c r="N592" s="25" t="str">
        <f aca="false">IF(OR(I592="",J592="",I592=G592),"",IF(E592="Buy",(J592-I592)/(I592-G592),(I592-J592)/(G592-I592)))</f>
        <v/>
      </c>
      <c r="O592" s="2" t="str">
        <f aca="false">IF(OR(B592="",K592=""),"",IFERROR(K592-B592,""))</f>
        <v/>
      </c>
      <c r="P592" s="2" t="str">
        <f aca="false">IF(M592="","",IF(M592&gt;0,1,0))</f>
        <v/>
      </c>
    </row>
    <row r="593" customFormat="false" ht="15" hidden="false" customHeight="false" outlineLevel="0" collapsed="false">
      <c r="M593" s="24" t="str">
        <f aca="false">IF(OR(I593="",J593=""),"",IF(E593="Buy",(J593-I593)/I593,(I593-J593)/I593))</f>
        <v/>
      </c>
      <c r="N593" s="25" t="str">
        <f aca="false">IF(OR(I593="",J593="",I593=G593),"",IF(E593="Buy",(J593-I593)/(I593-G593),(I593-J593)/(G593-I593)))</f>
        <v/>
      </c>
      <c r="O593" s="2" t="str">
        <f aca="false">IF(OR(B593="",K593=""),"",IFERROR(K593-B593,""))</f>
        <v/>
      </c>
      <c r="P593" s="2" t="str">
        <f aca="false">IF(M593="","",IF(M593&gt;0,1,0))</f>
        <v/>
      </c>
    </row>
    <row r="594" customFormat="false" ht="15" hidden="false" customHeight="false" outlineLevel="0" collapsed="false">
      <c r="M594" s="24" t="str">
        <f aca="false">IF(OR(I594="",J594=""),"",IF(E594="Buy",(J594-I594)/I594,(I594-J594)/I594))</f>
        <v/>
      </c>
      <c r="N594" s="25" t="str">
        <f aca="false">IF(OR(I594="",J594="",I594=G594),"",IF(E594="Buy",(J594-I594)/(I594-G594),(I594-J594)/(G594-I594)))</f>
        <v/>
      </c>
      <c r="O594" s="2" t="str">
        <f aca="false">IF(OR(B594="",K594=""),"",IFERROR(K594-B594,""))</f>
        <v/>
      </c>
      <c r="P594" s="2" t="str">
        <f aca="false">IF(M594="","",IF(M594&gt;0,1,0))</f>
        <v/>
      </c>
    </row>
    <row r="595" customFormat="false" ht="15" hidden="false" customHeight="false" outlineLevel="0" collapsed="false">
      <c r="M595" s="24" t="str">
        <f aca="false">IF(OR(I595="",J595=""),"",IF(E595="Buy",(J595-I595)/I595,(I595-J595)/I595))</f>
        <v/>
      </c>
      <c r="N595" s="25" t="str">
        <f aca="false">IF(OR(I595="",J595="",I595=G595),"",IF(E595="Buy",(J595-I595)/(I595-G595),(I595-J595)/(G595-I595)))</f>
        <v/>
      </c>
      <c r="O595" s="2" t="str">
        <f aca="false">IF(OR(B595="",K595=""),"",IFERROR(K595-B595,""))</f>
        <v/>
      </c>
      <c r="P595" s="2" t="str">
        <f aca="false">IF(M595="","",IF(M595&gt;0,1,0))</f>
        <v/>
      </c>
    </row>
    <row r="596" customFormat="false" ht="15" hidden="false" customHeight="false" outlineLevel="0" collapsed="false">
      <c r="M596" s="24" t="str">
        <f aca="false">IF(OR(I596="",J596=""),"",IF(E596="Buy",(J596-I596)/I596,(I596-J596)/I596))</f>
        <v/>
      </c>
      <c r="N596" s="25" t="str">
        <f aca="false">IF(OR(I596="",J596="",I596=G596),"",IF(E596="Buy",(J596-I596)/(I596-G596),(I596-J596)/(G596-I596)))</f>
        <v/>
      </c>
      <c r="O596" s="2" t="str">
        <f aca="false">IF(OR(B596="",K596=""),"",IFERROR(K596-B596,""))</f>
        <v/>
      </c>
      <c r="P596" s="2" t="str">
        <f aca="false">IF(M596="","",IF(M596&gt;0,1,0))</f>
        <v/>
      </c>
    </row>
    <row r="597" customFormat="false" ht="15" hidden="false" customHeight="false" outlineLevel="0" collapsed="false">
      <c r="M597" s="24" t="str">
        <f aca="false">IF(OR(I597="",J597=""),"",IF(E597="Buy",(J597-I597)/I597,(I597-J597)/I597))</f>
        <v/>
      </c>
      <c r="N597" s="25" t="str">
        <f aca="false">IF(OR(I597="",J597="",I597=G597),"",IF(E597="Buy",(J597-I597)/(I597-G597),(I597-J597)/(G597-I597)))</f>
        <v/>
      </c>
      <c r="O597" s="2" t="str">
        <f aca="false">IF(OR(B597="",K597=""),"",IFERROR(K597-B597,""))</f>
        <v/>
      </c>
      <c r="P597" s="2" t="str">
        <f aca="false">IF(M597="","",IF(M597&gt;0,1,0))</f>
        <v/>
      </c>
    </row>
    <row r="598" customFormat="false" ht="15" hidden="false" customHeight="false" outlineLevel="0" collapsed="false">
      <c r="M598" s="24" t="str">
        <f aca="false">IF(OR(I598="",J598=""),"",IF(E598="Buy",(J598-I598)/I598,(I598-J598)/I598))</f>
        <v/>
      </c>
      <c r="N598" s="25" t="str">
        <f aca="false">IF(OR(I598="",J598="",I598=G598),"",IF(E598="Buy",(J598-I598)/(I598-G598),(I598-J598)/(G598-I598)))</f>
        <v/>
      </c>
      <c r="O598" s="2" t="str">
        <f aca="false">IF(OR(B598="",K598=""),"",IFERROR(K598-B598,""))</f>
        <v/>
      </c>
      <c r="P598" s="2" t="str">
        <f aca="false">IF(M598="","",IF(M598&gt;0,1,0))</f>
        <v/>
      </c>
    </row>
    <row r="599" customFormat="false" ht="15" hidden="false" customHeight="false" outlineLevel="0" collapsed="false">
      <c r="M599" s="24" t="str">
        <f aca="false">IF(OR(I599="",J599=""),"",IF(E599="Buy",(J599-I599)/I599,(I599-J599)/I599))</f>
        <v/>
      </c>
      <c r="N599" s="25" t="str">
        <f aca="false">IF(OR(I599="",J599="",I599=G599),"",IF(E599="Buy",(J599-I599)/(I599-G599),(I599-J599)/(G599-I599)))</f>
        <v/>
      </c>
      <c r="O599" s="2" t="str">
        <f aca="false">IF(OR(B599="",K599=""),"",IFERROR(K599-B599,""))</f>
        <v/>
      </c>
      <c r="P599" s="2" t="str">
        <f aca="false">IF(M599="","",IF(M599&gt;0,1,0))</f>
        <v/>
      </c>
    </row>
    <row r="600" customFormat="false" ht="15" hidden="false" customHeight="false" outlineLevel="0" collapsed="false">
      <c r="M600" s="24" t="str">
        <f aca="false">IF(OR(I600="",J600=""),"",IF(E600="Buy",(J600-I600)/I600,(I600-J600)/I600))</f>
        <v/>
      </c>
      <c r="N600" s="25" t="str">
        <f aca="false">IF(OR(I600="",J600="",I600=G600),"",IF(E600="Buy",(J600-I600)/(I600-G600),(I600-J600)/(G600-I600)))</f>
        <v/>
      </c>
      <c r="O600" s="2" t="str">
        <f aca="false">IF(OR(B600="",K600=""),"",IFERROR(K600-B600,""))</f>
        <v/>
      </c>
      <c r="P600" s="2" t="str">
        <f aca="false">IF(M600="","",IF(M600&gt;0,1,0))</f>
        <v/>
      </c>
    </row>
    <row r="601" customFormat="false" ht="15" hidden="false" customHeight="false" outlineLevel="0" collapsed="false">
      <c r="M601" s="24" t="str">
        <f aca="false">IF(OR(I601="",J601=""),"",IF(E601="Buy",(J601-I601)/I601,(I601-J601)/I601))</f>
        <v/>
      </c>
      <c r="N601" s="25" t="str">
        <f aca="false">IF(OR(I601="",J601="",I601=G601),"",IF(E601="Buy",(J601-I601)/(I601-G601),(I601-J601)/(G601-I601)))</f>
        <v/>
      </c>
      <c r="O601" s="2" t="str">
        <f aca="false">IF(OR(B601="",K601=""),"",IFERROR(K601-B601,""))</f>
        <v/>
      </c>
      <c r="P601" s="2" t="str">
        <f aca="false">IF(M601="","",IF(M601&gt;0,1,0))</f>
        <v/>
      </c>
    </row>
    <row r="602" customFormat="false" ht="15" hidden="false" customHeight="false" outlineLevel="0" collapsed="false">
      <c r="M602" s="24" t="str">
        <f aca="false">IF(OR(I602="",J602=""),"",IF(E602="Buy",(J602-I602)/I602,(I602-J602)/I602))</f>
        <v/>
      </c>
      <c r="N602" s="25" t="str">
        <f aca="false">IF(OR(I602="",J602="",I602=G602),"",IF(E602="Buy",(J602-I602)/(I602-G602),(I602-J602)/(G602-I602)))</f>
        <v/>
      </c>
      <c r="O602" s="2" t="str">
        <f aca="false">IF(OR(B602="",K602=""),"",IFERROR(K602-B602,""))</f>
        <v/>
      </c>
      <c r="P602" s="2" t="str">
        <f aca="false">IF(M602="","",IF(M602&gt;0,1,0))</f>
        <v/>
      </c>
    </row>
    <row r="603" customFormat="false" ht="15" hidden="false" customHeight="false" outlineLevel="0" collapsed="false">
      <c r="M603" s="24" t="str">
        <f aca="false">IF(OR(I603="",J603=""),"",IF(E603="Buy",(J603-I603)/I603,(I603-J603)/I603))</f>
        <v/>
      </c>
      <c r="N603" s="25" t="str">
        <f aca="false">IF(OR(I603="",J603="",I603=G603),"",IF(E603="Buy",(J603-I603)/(I603-G603),(I603-J603)/(G603-I603)))</f>
        <v/>
      </c>
      <c r="O603" s="2" t="str">
        <f aca="false">IF(OR(B603="",K603=""),"",IFERROR(K603-B603,""))</f>
        <v/>
      </c>
      <c r="P603" s="2" t="str">
        <f aca="false">IF(M603="","",IF(M603&gt;0,1,0))</f>
        <v/>
      </c>
    </row>
    <row r="604" customFormat="false" ht="15" hidden="false" customHeight="false" outlineLevel="0" collapsed="false">
      <c r="M604" s="24" t="str">
        <f aca="false">IF(OR(I604="",J604=""),"",IF(E604="Buy",(J604-I604)/I604,(I604-J604)/I604))</f>
        <v/>
      </c>
      <c r="N604" s="25" t="str">
        <f aca="false">IF(OR(I604="",J604="",I604=G604),"",IF(E604="Buy",(J604-I604)/(I604-G604),(I604-J604)/(G604-I604)))</f>
        <v/>
      </c>
      <c r="O604" s="2" t="str">
        <f aca="false">IF(OR(B604="",K604=""),"",IFERROR(K604-B604,""))</f>
        <v/>
      </c>
      <c r="P604" s="2" t="str">
        <f aca="false">IF(M604="","",IF(M604&gt;0,1,0))</f>
        <v/>
      </c>
    </row>
    <row r="605" customFormat="false" ht="15" hidden="false" customHeight="false" outlineLevel="0" collapsed="false">
      <c r="M605" s="24" t="str">
        <f aca="false">IF(OR(I605="",J605=""),"",IF(E605="Buy",(J605-I605)/I605,(I605-J605)/I605))</f>
        <v/>
      </c>
      <c r="N605" s="25" t="str">
        <f aca="false">IF(OR(I605="",J605="",I605=G605),"",IF(E605="Buy",(J605-I605)/(I605-G605),(I605-J605)/(G605-I605)))</f>
        <v/>
      </c>
      <c r="O605" s="2" t="str">
        <f aca="false">IF(OR(B605="",K605=""),"",IFERROR(K605-B605,""))</f>
        <v/>
      </c>
      <c r="P605" s="2" t="str">
        <f aca="false">IF(M605="","",IF(M605&gt;0,1,0))</f>
        <v/>
      </c>
    </row>
    <row r="606" customFormat="false" ht="15" hidden="false" customHeight="false" outlineLevel="0" collapsed="false">
      <c r="M606" s="24" t="str">
        <f aca="false">IF(OR(I606="",J606=""),"",IF(E606="Buy",(J606-I606)/I606,(I606-J606)/I606))</f>
        <v/>
      </c>
      <c r="N606" s="25" t="str">
        <f aca="false">IF(OR(I606="",J606="",I606=G606),"",IF(E606="Buy",(J606-I606)/(I606-G606),(I606-J606)/(G606-I606)))</f>
        <v/>
      </c>
      <c r="O606" s="2" t="str">
        <f aca="false">IF(OR(B606="",K606=""),"",IFERROR(K606-B606,""))</f>
        <v/>
      </c>
      <c r="P606" s="2" t="str">
        <f aca="false">IF(M606="","",IF(M606&gt;0,1,0))</f>
        <v/>
      </c>
    </row>
    <row r="607" customFormat="false" ht="15" hidden="false" customHeight="false" outlineLevel="0" collapsed="false">
      <c r="M607" s="24" t="str">
        <f aca="false">IF(OR(I607="",J607=""),"",IF(E607="Buy",(J607-I607)/I607,(I607-J607)/I607))</f>
        <v/>
      </c>
      <c r="N607" s="25" t="str">
        <f aca="false">IF(OR(I607="",J607="",I607=G607),"",IF(E607="Buy",(J607-I607)/(I607-G607),(I607-J607)/(G607-I607)))</f>
        <v/>
      </c>
      <c r="O607" s="2" t="str">
        <f aca="false">IF(OR(B607="",K607=""),"",IFERROR(K607-B607,""))</f>
        <v/>
      </c>
      <c r="P607" s="2" t="str">
        <f aca="false">IF(M607="","",IF(M607&gt;0,1,0))</f>
        <v/>
      </c>
    </row>
    <row r="608" customFormat="false" ht="15" hidden="false" customHeight="false" outlineLevel="0" collapsed="false">
      <c r="M608" s="24" t="str">
        <f aca="false">IF(OR(I608="",J608=""),"",IF(E608="Buy",(J608-I608)/I608,(I608-J608)/I608))</f>
        <v/>
      </c>
      <c r="N608" s="25" t="str">
        <f aca="false">IF(OR(I608="",J608="",I608=G608),"",IF(E608="Buy",(J608-I608)/(I608-G608),(I608-J608)/(G608-I608)))</f>
        <v/>
      </c>
      <c r="O608" s="2" t="str">
        <f aca="false">IF(OR(B608="",K608=""),"",IFERROR(K608-B608,""))</f>
        <v/>
      </c>
      <c r="P608" s="2" t="str">
        <f aca="false">IF(M608="","",IF(M608&gt;0,1,0))</f>
        <v/>
      </c>
    </row>
    <row r="609" customFormat="false" ht="15" hidden="false" customHeight="false" outlineLevel="0" collapsed="false">
      <c r="M609" s="24" t="str">
        <f aca="false">IF(OR(I609="",J609=""),"",IF(E609="Buy",(J609-I609)/I609,(I609-J609)/I609))</f>
        <v/>
      </c>
      <c r="N609" s="25" t="str">
        <f aca="false">IF(OR(I609="",J609="",I609=G609),"",IF(E609="Buy",(J609-I609)/(I609-G609),(I609-J609)/(G609-I609)))</f>
        <v/>
      </c>
      <c r="O609" s="2" t="str">
        <f aca="false">IF(OR(B609="",K609=""),"",IFERROR(K609-B609,""))</f>
        <v/>
      </c>
      <c r="P609" s="2" t="str">
        <f aca="false">IF(M609="","",IF(M609&gt;0,1,0))</f>
        <v/>
      </c>
    </row>
    <row r="610" customFormat="false" ht="15" hidden="false" customHeight="false" outlineLevel="0" collapsed="false">
      <c r="M610" s="24" t="str">
        <f aca="false">IF(OR(I610="",J610=""),"",IF(E610="Buy",(J610-I610)/I610,(I610-J610)/I610))</f>
        <v/>
      </c>
      <c r="N610" s="25" t="str">
        <f aca="false">IF(OR(I610="",J610="",I610=G610),"",IF(E610="Buy",(J610-I610)/(I610-G610),(I610-J610)/(G610-I610)))</f>
        <v/>
      </c>
      <c r="O610" s="2" t="str">
        <f aca="false">IF(OR(B610="",K610=""),"",IFERROR(K610-B610,""))</f>
        <v/>
      </c>
      <c r="P610" s="2" t="str">
        <f aca="false">IF(M610="","",IF(M610&gt;0,1,0))</f>
        <v/>
      </c>
    </row>
    <row r="611" customFormat="false" ht="15" hidden="false" customHeight="false" outlineLevel="0" collapsed="false">
      <c r="M611" s="24" t="str">
        <f aca="false">IF(OR(I611="",J611=""),"",IF(E611="Buy",(J611-I611)/I611,(I611-J611)/I611))</f>
        <v/>
      </c>
      <c r="N611" s="25" t="str">
        <f aca="false">IF(OR(I611="",J611="",I611=G611),"",IF(E611="Buy",(J611-I611)/(I611-G611),(I611-J611)/(G611-I611)))</f>
        <v/>
      </c>
      <c r="O611" s="2" t="str">
        <f aca="false">IF(OR(B611="",K611=""),"",IFERROR(K611-B611,""))</f>
        <v/>
      </c>
      <c r="P611" s="2" t="str">
        <f aca="false">IF(M611="","",IF(M611&gt;0,1,0))</f>
        <v/>
      </c>
    </row>
    <row r="612" customFormat="false" ht="15" hidden="false" customHeight="false" outlineLevel="0" collapsed="false">
      <c r="M612" s="24" t="str">
        <f aca="false">IF(OR(I612="",J612=""),"",IF(E612="Buy",(J612-I612)/I612,(I612-J612)/I612))</f>
        <v/>
      </c>
      <c r="N612" s="25" t="str">
        <f aca="false">IF(OR(I612="",J612="",I612=G612),"",IF(E612="Buy",(J612-I612)/(I612-G612),(I612-J612)/(G612-I612)))</f>
        <v/>
      </c>
      <c r="O612" s="2" t="str">
        <f aca="false">IF(OR(B612="",K612=""),"",IFERROR(K612-B612,""))</f>
        <v/>
      </c>
      <c r="P612" s="2" t="str">
        <f aca="false">IF(M612="","",IF(M612&gt;0,1,0))</f>
        <v/>
      </c>
    </row>
    <row r="613" customFormat="false" ht="15" hidden="false" customHeight="false" outlineLevel="0" collapsed="false">
      <c r="M613" s="24" t="str">
        <f aca="false">IF(OR(I613="",J613=""),"",IF(E613="Buy",(J613-I613)/I613,(I613-J613)/I613))</f>
        <v/>
      </c>
      <c r="N613" s="25" t="str">
        <f aca="false">IF(OR(I613="",J613="",I613=G613),"",IF(E613="Buy",(J613-I613)/(I613-G613),(I613-J613)/(G613-I613)))</f>
        <v/>
      </c>
      <c r="O613" s="2" t="str">
        <f aca="false">IF(OR(B613="",K613=""),"",IFERROR(K613-B613,""))</f>
        <v/>
      </c>
      <c r="P613" s="2" t="str">
        <f aca="false">IF(M613="","",IF(M613&gt;0,1,0))</f>
        <v/>
      </c>
    </row>
    <row r="614" customFormat="false" ht="15" hidden="false" customHeight="false" outlineLevel="0" collapsed="false">
      <c r="M614" s="24" t="str">
        <f aca="false">IF(OR(I614="",J614=""),"",IF(E614="Buy",(J614-I614)/I614,(I614-J614)/I614))</f>
        <v/>
      </c>
      <c r="N614" s="25" t="str">
        <f aca="false">IF(OR(I614="",J614="",I614=G614),"",IF(E614="Buy",(J614-I614)/(I614-G614),(I614-J614)/(G614-I614)))</f>
        <v/>
      </c>
      <c r="O614" s="2" t="str">
        <f aca="false">IF(OR(B614="",K614=""),"",IFERROR(K614-B614,""))</f>
        <v/>
      </c>
      <c r="P614" s="2" t="str">
        <f aca="false">IF(M614="","",IF(M614&gt;0,1,0))</f>
        <v/>
      </c>
    </row>
    <row r="615" customFormat="false" ht="15" hidden="false" customHeight="false" outlineLevel="0" collapsed="false">
      <c r="M615" s="24" t="str">
        <f aca="false">IF(OR(I615="",J615=""),"",IF(E615="Buy",(J615-I615)/I615,(I615-J615)/I615))</f>
        <v/>
      </c>
      <c r="N615" s="25" t="str">
        <f aca="false">IF(OR(I615="",J615="",I615=G615),"",IF(E615="Buy",(J615-I615)/(I615-G615),(I615-J615)/(G615-I615)))</f>
        <v/>
      </c>
      <c r="O615" s="2" t="str">
        <f aca="false">IF(OR(B615="",K615=""),"",IFERROR(K615-B615,""))</f>
        <v/>
      </c>
      <c r="P615" s="2" t="str">
        <f aca="false">IF(M615="","",IF(M615&gt;0,1,0))</f>
        <v/>
      </c>
    </row>
    <row r="616" customFormat="false" ht="15" hidden="false" customHeight="false" outlineLevel="0" collapsed="false">
      <c r="M616" s="24" t="str">
        <f aca="false">IF(OR(I616="",J616=""),"",IF(E616="Buy",(J616-I616)/I616,(I616-J616)/I616))</f>
        <v/>
      </c>
      <c r="N616" s="25" t="str">
        <f aca="false">IF(OR(I616="",J616="",I616=G616),"",IF(E616="Buy",(J616-I616)/(I616-G616),(I616-J616)/(G616-I616)))</f>
        <v/>
      </c>
      <c r="O616" s="2" t="str">
        <f aca="false">IF(OR(B616="",K616=""),"",IFERROR(K616-B616,""))</f>
        <v/>
      </c>
      <c r="P616" s="2" t="str">
        <f aca="false">IF(M616="","",IF(M616&gt;0,1,0))</f>
        <v/>
      </c>
    </row>
    <row r="617" customFormat="false" ht="15" hidden="false" customHeight="false" outlineLevel="0" collapsed="false">
      <c r="M617" s="24" t="str">
        <f aca="false">IF(OR(I617="",J617=""),"",IF(E617="Buy",(J617-I617)/I617,(I617-J617)/I617))</f>
        <v/>
      </c>
      <c r="N617" s="25" t="str">
        <f aca="false">IF(OR(I617="",J617="",I617=G617),"",IF(E617="Buy",(J617-I617)/(I617-G617),(I617-J617)/(G617-I617)))</f>
        <v/>
      </c>
      <c r="O617" s="2" t="str">
        <f aca="false">IF(OR(B617="",K617=""),"",IFERROR(K617-B617,""))</f>
        <v/>
      </c>
      <c r="P617" s="2" t="str">
        <f aca="false">IF(M617="","",IF(M617&gt;0,1,0))</f>
        <v/>
      </c>
    </row>
    <row r="618" customFormat="false" ht="15" hidden="false" customHeight="false" outlineLevel="0" collapsed="false">
      <c r="M618" s="24" t="str">
        <f aca="false">IF(OR(I618="",J618=""),"",IF(E618="Buy",(J618-I618)/I618,(I618-J618)/I618))</f>
        <v/>
      </c>
      <c r="N618" s="25" t="str">
        <f aca="false">IF(OR(I618="",J618="",I618=G618),"",IF(E618="Buy",(J618-I618)/(I618-G618),(I618-J618)/(G618-I618)))</f>
        <v/>
      </c>
      <c r="O618" s="2" t="str">
        <f aca="false">IF(OR(B618="",K618=""),"",IFERROR(K618-B618,""))</f>
        <v/>
      </c>
      <c r="P618" s="2" t="str">
        <f aca="false">IF(M618="","",IF(M618&gt;0,1,0))</f>
        <v/>
      </c>
    </row>
    <row r="619" customFormat="false" ht="15" hidden="false" customHeight="false" outlineLevel="0" collapsed="false">
      <c r="M619" s="24" t="str">
        <f aca="false">IF(OR(I619="",J619=""),"",IF(E619="Buy",(J619-I619)/I619,(I619-J619)/I619))</f>
        <v/>
      </c>
      <c r="N619" s="25" t="str">
        <f aca="false">IF(OR(I619="",J619="",I619=G619),"",IF(E619="Buy",(J619-I619)/(I619-G619),(I619-J619)/(G619-I619)))</f>
        <v/>
      </c>
      <c r="O619" s="2" t="str">
        <f aca="false">IF(OR(B619="",K619=""),"",IFERROR(K619-B619,""))</f>
        <v/>
      </c>
      <c r="P619" s="2" t="str">
        <f aca="false">IF(M619="","",IF(M619&gt;0,1,0))</f>
        <v/>
      </c>
    </row>
    <row r="620" customFormat="false" ht="15" hidden="false" customHeight="false" outlineLevel="0" collapsed="false">
      <c r="M620" s="24" t="str">
        <f aca="false">IF(OR(I620="",J620=""),"",IF(E620="Buy",(J620-I620)/I620,(I620-J620)/I620))</f>
        <v/>
      </c>
      <c r="N620" s="25" t="str">
        <f aca="false">IF(OR(I620="",J620="",I620=G620),"",IF(E620="Buy",(J620-I620)/(I620-G620),(I620-J620)/(G620-I620)))</f>
        <v/>
      </c>
      <c r="O620" s="2" t="str">
        <f aca="false">IF(OR(B620="",K620=""),"",IFERROR(K620-B620,""))</f>
        <v/>
      </c>
      <c r="P620" s="2" t="str">
        <f aca="false">IF(M620="","",IF(M620&gt;0,1,0))</f>
        <v/>
      </c>
    </row>
    <row r="621" customFormat="false" ht="15" hidden="false" customHeight="false" outlineLevel="0" collapsed="false">
      <c r="M621" s="24" t="str">
        <f aca="false">IF(OR(I621="",J621=""),"",IF(E621="Buy",(J621-I621)/I621,(I621-J621)/I621))</f>
        <v/>
      </c>
      <c r="N621" s="25" t="str">
        <f aca="false">IF(OR(I621="",J621="",I621=G621),"",IF(E621="Buy",(J621-I621)/(I621-G621),(I621-J621)/(G621-I621)))</f>
        <v/>
      </c>
      <c r="O621" s="2" t="str">
        <f aca="false">IF(OR(B621="",K621=""),"",IFERROR(K621-B621,""))</f>
        <v/>
      </c>
      <c r="P621" s="2" t="str">
        <f aca="false">IF(M621="","",IF(M621&gt;0,1,0))</f>
        <v/>
      </c>
    </row>
    <row r="622" customFormat="false" ht="15" hidden="false" customHeight="false" outlineLevel="0" collapsed="false">
      <c r="M622" s="24" t="str">
        <f aca="false">IF(OR(I622="",J622=""),"",IF(E622="Buy",(J622-I622)/I622,(I622-J622)/I622))</f>
        <v/>
      </c>
      <c r="N622" s="25" t="str">
        <f aca="false">IF(OR(I622="",J622="",I622=G622),"",IF(E622="Buy",(J622-I622)/(I622-G622),(I622-J622)/(G622-I622)))</f>
        <v/>
      </c>
      <c r="O622" s="2" t="str">
        <f aca="false">IF(OR(B622="",K622=""),"",IFERROR(K622-B622,""))</f>
        <v/>
      </c>
      <c r="P622" s="2" t="str">
        <f aca="false">IF(M622="","",IF(M622&gt;0,1,0))</f>
        <v/>
      </c>
    </row>
    <row r="623" customFormat="false" ht="15" hidden="false" customHeight="false" outlineLevel="0" collapsed="false">
      <c r="M623" s="24" t="str">
        <f aca="false">IF(OR(I623="",J623=""),"",IF(E623="Buy",(J623-I623)/I623,(I623-J623)/I623))</f>
        <v/>
      </c>
      <c r="N623" s="25" t="str">
        <f aca="false">IF(OR(I623="",J623="",I623=G623),"",IF(E623="Buy",(J623-I623)/(I623-G623),(I623-J623)/(G623-I623)))</f>
        <v/>
      </c>
      <c r="O623" s="2" t="str">
        <f aca="false">IF(OR(B623="",K623=""),"",IFERROR(K623-B623,""))</f>
        <v/>
      </c>
      <c r="P623" s="2" t="str">
        <f aca="false">IF(M623="","",IF(M623&gt;0,1,0))</f>
        <v/>
      </c>
    </row>
    <row r="624" customFormat="false" ht="15" hidden="false" customHeight="false" outlineLevel="0" collapsed="false">
      <c r="M624" s="24" t="str">
        <f aca="false">IF(OR(I624="",J624=""),"",IF(E624="Buy",(J624-I624)/I624,(I624-J624)/I624))</f>
        <v/>
      </c>
      <c r="N624" s="25" t="str">
        <f aca="false">IF(OR(I624="",J624="",I624=G624),"",IF(E624="Buy",(J624-I624)/(I624-G624),(I624-J624)/(G624-I624)))</f>
        <v/>
      </c>
      <c r="O624" s="2" t="str">
        <f aca="false">IF(OR(B624="",K624=""),"",IFERROR(K624-B624,""))</f>
        <v/>
      </c>
      <c r="P624" s="2" t="str">
        <f aca="false">IF(M624="","",IF(M624&gt;0,1,0))</f>
        <v/>
      </c>
    </row>
    <row r="625" customFormat="false" ht="15" hidden="false" customHeight="false" outlineLevel="0" collapsed="false">
      <c r="M625" s="24" t="str">
        <f aca="false">IF(OR(I625="",J625=""),"",IF(E625="Buy",(J625-I625)/I625,(I625-J625)/I625))</f>
        <v/>
      </c>
      <c r="N625" s="25" t="str">
        <f aca="false">IF(OR(I625="",J625="",I625=G625),"",IF(E625="Buy",(J625-I625)/(I625-G625),(I625-J625)/(G625-I625)))</f>
        <v/>
      </c>
      <c r="O625" s="2" t="str">
        <f aca="false">IF(OR(B625="",K625=""),"",IFERROR(K625-B625,""))</f>
        <v/>
      </c>
      <c r="P625" s="2" t="str">
        <f aca="false">IF(M625="","",IF(M625&gt;0,1,0))</f>
        <v/>
      </c>
    </row>
    <row r="626" customFormat="false" ht="15" hidden="false" customHeight="false" outlineLevel="0" collapsed="false">
      <c r="M626" s="24" t="str">
        <f aca="false">IF(OR(I626="",J626=""),"",IF(E626="Buy",(J626-I626)/I626,(I626-J626)/I626))</f>
        <v/>
      </c>
      <c r="N626" s="25" t="str">
        <f aca="false">IF(OR(I626="",J626="",I626=G626),"",IF(E626="Buy",(J626-I626)/(I626-G626),(I626-J626)/(G626-I626)))</f>
        <v/>
      </c>
      <c r="O626" s="2" t="str">
        <f aca="false">IF(OR(B626="",K626=""),"",IFERROR(K626-B626,""))</f>
        <v/>
      </c>
      <c r="P626" s="2" t="str">
        <f aca="false">IF(M626="","",IF(M626&gt;0,1,0))</f>
        <v/>
      </c>
    </row>
    <row r="627" customFormat="false" ht="15" hidden="false" customHeight="false" outlineLevel="0" collapsed="false">
      <c r="M627" s="24" t="str">
        <f aca="false">IF(OR(I627="",J627=""),"",IF(E627="Buy",(J627-I627)/I627,(I627-J627)/I627))</f>
        <v/>
      </c>
      <c r="N627" s="25" t="str">
        <f aca="false">IF(OR(I627="",J627="",I627=G627),"",IF(E627="Buy",(J627-I627)/(I627-G627),(I627-J627)/(G627-I627)))</f>
        <v/>
      </c>
      <c r="O627" s="2" t="str">
        <f aca="false">IF(OR(B627="",K627=""),"",IFERROR(K627-B627,""))</f>
        <v/>
      </c>
      <c r="P627" s="2" t="str">
        <f aca="false">IF(M627="","",IF(M627&gt;0,1,0))</f>
        <v/>
      </c>
    </row>
    <row r="628" customFormat="false" ht="15" hidden="false" customHeight="false" outlineLevel="0" collapsed="false">
      <c r="M628" s="24" t="str">
        <f aca="false">IF(OR(I628="",J628=""),"",IF(E628="Buy",(J628-I628)/I628,(I628-J628)/I628))</f>
        <v/>
      </c>
      <c r="N628" s="25" t="str">
        <f aca="false">IF(OR(I628="",J628="",I628=G628),"",IF(E628="Buy",(J628-I628)/(I628-G628),(I628-J628)/(G628-I628)))</f>
        <v/>
      </c>
      <c r="O628" s="2" t="str">
        <f aca="false">IF(OR(B628="",K628=""),"",IFERROR(K628-B628,""))</f>
        <v/>
      </c>
      <c r="P628" s="2" t="str">
        <f aca="false">IF(M628="","",IF(M628&gt;0,1,0))</f>
        <v/>
      </c>
    </row>
    <row r="629" customFormat="false" ht="15" hidden="false" customHeight="false" outlineLevel="0" collapsed="false">
      <c r="M629" s="24" t="str">
        <f aca="false">IF(OR(I629="",J629=""),"",IF(E629="Buy",(J629-I629)/I629,(I629-J629)/I629))</f>
        <v/>
      </c>
      <c r="N629" s="25" t="str">
        <f aca="false">IF(OR(I629="",J629="",I629=G629),"",IF(E629="Buy",(J629-I629)/(I629-G629),(I629-J629)/(G629-I629)))</f>
        <v/>
      </c>
      <c r="O629" s="2" t="str">
        <f aca="false">IF(OR(B629="",K629=""),"",IFERROR(K629-B629,""))</f>
        <v/>
      </c>
      <c r="P629" s="2" t="str">
        <f aca="false">IF(M629="","",IF(M629&gt;0,1,0))</f>
        <v/>
      </c>
    </row>
    <row r="630" customFormat="false" ht="15" hidden="false" customHeight="false" outlineLevel="0" collapsed="false">
      <c r="M630" s="24" t="str">
        <f aca="false">IF(OR(I630="",J630=""),"",IF(E630="Buy",(J630-I630)/I630,(I630-J630)/I630))</f>
        <v/>
      </c>
      <c r="N630" s="25" t="str">
        <f aca="false">IF(OR(I630="",J630="",I630=G630),"",IF(E630="Buy",(J630-I630)/(I630-G630),(I630-J630)/(G630-I630)))</f>
        <v/>
      </c>
      <c r="O630" s="2" t="str">
        <f aca="false">IF(OR(B630="",K630=""),"",IFERROR(K630-B630,""))</f>
        <v/>
      </c>
      <c r="P630" s="2" t="str">
        <f aca="false">IF(M630="","",IF(M630&gt;0,1,0))</f>
        <v/>
      </c>
    </row>
    <row r="631" customFormat="false" ht="15" hidden="false" customHeight="false" outlineLevel="0" collapsed="false">
      <c r="M631" s="24" t="str">
        <f aca="false">IF(OR(I631="",J631=""),"",IF(E631="Buy",(J631-I631)/I631,(I631-J631)/I631))</f>
        <v/>
      </c>
      <c r="N631" s="25" t="str">
        <f aca="false">IF(OR(I631="",J631="",I631=G631),"",IF(E631="Buy",(J631-I631)/(I631-G631),(I631-J631)/(G631-I631)))</f>
        <v/>
      </c>
      <c r="O631" s="2" t="str">
        <f aca="false">IF(OR(B631="",K631=""),"",IFERROR(K631-B631,""))</f>
        <v/>
      </c>
      <c r="P631" s="2" t="str">
        <f aca="false">IF(M631="","",IF(M631&gt;0,1,0))</f>
        <v/>
      </c>
    </row>
    <row r="632" customFormat="false" ht="15" hidden="false" customHeight="false" outlineLevel="0" collapsed="false">
      <c r="M632" s="24" t="str">
        <f aca="false">IF(OR(I632="",J632=""),"",IF(E632="Buy",(J632-I632)/I632,(I632-J632)/I632))</f>
        <v/>
      </c>
      <c r="N632" s="25" t="str">
        <f aca="false">IF(OR(I632="",J632="",I632=G632),"",IF(E632="Buy",(J632-I632)/(I632-G632),(I632-J632)/(G632-I632)))</f>
        <v/>
      </c>
      <c r="O632" s="2" t="str">
        <f aca="false">IF(OR(B632="",K632=""),"",IFERROR(K632-B632,""))</f>
        <v/>
      </c>
      <c r="P632" s="2" t="str">
        <f aca="false">IF(M632="","",IF(M632&gt;0,1,0))</f>
        <v/>
      </c>
    </row>
    <row r="633" customFormat="false" ht="15" hidden="false" customHeight="false" outlineLevel="0" collapsed="false">
      <c r="M633" s="24" t="str">
        <f aca="false">IF(OR(I633="",J633=""),"",IF(E633="Buy",(J633-I633)/I633,(I633-J633)/I633))</f>
        <v/>
      </c>
      <c r="N633" s="25" t="str">
        <f aca="false">IF(OR(I633="",J633="",I633=G633),"",IF(E633="Buy",(J633-I633)/(I633-G633),(I633-J633)/(G633-I633)))</f>
        <v/>
      </c>
      <c r="O633" s="2" t="str">
        <f aca="false">IF(OR(B633="",K633=""),"",IFERROR(K633-B633,""))</f>
        <v/>
      </c>
      <c r="P633" s="2" t="str">
        <f aca="false">IF(M633="","",IF(M633&gt;0,1,0))</f>
        <v/>
      </c>
    </row>
    <row r="634" customFormat="false" ht="15" hidden="false" customHeight="false" outlineLevel="0" collapsed="false">
      <c r="M634" s="24" t="str">
        <f aca="false">IF(OR(I634="",J634=""),"",IF(E634="Buy",(J634-I634)/I634,(I634-J634)/I634))</f>
        <v/>
      </c>
      <c r="N634" s="25" t="str">
        <f aca="false">IF(OR(I634="",J634="",I634=G634),"",IF(E634="Buy",(J634-I634)/(I634-G634),(I634-J634)/(G634-I634)))</f>
        <v/>
      </c>
      <c r="O634" s="2" t="str">
        <f aca="false">IF(OR(B634="",K634=""),"",IFERROR(K634-B634,""))</f>
        <v/>
      </c>
      <c r="P634" s="2" t="str">
        <f aca="false">IF(M634="","",IF(M634&gt;0,1,0))</f>
        <v/>
      </c>
    </row>
    <row r="635" customFormat="false" ht="15" hidden="false" customHeight="false" outlineLevel="0" collapsed="false">
      <c r="M635" s="24" t="str">
        <f aca="false">IF(OR(I635="",J635=""),"",IF(E635="Buy",(J635-I635)/I635,(I635-J635)/I635))</f>
        <v/>
      </c>
      <c r="N635" s="25" t="str">
        <f aca="false">IF(OR(I635="",J635="",I635=G635),"",IF(E635="Buy",(J635-I635)/(I635-G635),(I635-J635)/(G635-I635)))</f>
        <v/>
      </c>
      <c r="O635" s="2" t="str">
        <f aca="false">IF(OR(B635="",K635=""),"",IFERROR(K635-B635,""))</f>
        <v/>
      </c>
      <c r="P635" s="2" t="str">
        <f aca="false">IF(M635="","",IF(M635&gt;0,1,0))</f>
        <v/>
      </c>
    </row>
    <row r="636" customFormat="false" ht="15" hidden="false" customHeight="false" outlineLevel="0" collapsed="false">
      <c r="M636" s="24" t="str">
        <f aca="false">IF(OR(I636="",J636=""),"",IF(E636="Buy",(J636-I636)/I636,(I636-J636)/I636))</f>
        <v/>
      </c>
      <c r="N636" s="25" t="str">
        <f aca="false">IF(OR(I636="",J636="",I636=G636),"",IF(E636="Buy",(J636-I636)/(I636-G636),(I636-J636)/(G636-I636)))</f>
        <v/>
      </c>
      <c r="O636" s="2" t="str">
        <f aca="false">IF(OR(B636="",K636=""),"",IFERROR(K636-B636,""))</f>
        <v/>
      </c>
      <c r="P636" s="2" t="str">
        <f aca="false">IF(M636="","",IF(M636&gt;0,1,0))</f>
        <v/>
      </c>
    </row>
    <row r="637" customFormat="false" ht="15" hidden="false" customHeight="false" outlineLevel="0" collapsed="false">
      <c r="M637" s="24" t="str">
        <f aca="false">IF(OR(I637="",J637=""),"",IF(E637="Buy",(J637-I637)/I637,(I637-J637)/I637))</f>
        <v/>
      </c>
      <c r="N637" s="25" t="str">
        <f aca="false">IF(OR(I637="",J637="",I637=G637),"",IF(E637="Buy",(J637-I637)/(I637-G637),(I637-J637)/(G637-I637)))</f>
        <v/>
      </c>
      <c r="O637" s="2" t="str">
        <f aca="false">IF(OR(B637="",K637=""),"",IFERROR(K637-B637,""))</f>
        <v/>
      </c>
      <c r="P637" s="2" t="str">
        <f aca="false">IF(M637="","",IF(M637&gt;0,1,0))</f>
        <v/>
      </c>
    </row>
    <row r="638" customFormat="false" ht="15" hidden="false" customHeight="false" outlineLevel="0" collapsed="false">
      <c r="M638" s="24" t="str">
        <f aca="false">IF(OR(I638="",J638=""),"",IF(E638="Buy",(J638-I638)/I638,(I638-J638)/I638))</f>
        <v/>
      </c>
      <c r="N638" s="25" t="str">
        <f aca="false">IF(OR(I638="",J638="",I638=G638),"",IF(E638="Buy",(J638-I638)/(I638-G638),(I638-J638)/(G638-I638)))</f>
        <v/>
      </c>
      <c r="O638" s="2" t="str">
        <f aca="false">IF(OR(B638="",K638=""),"",IFERROR(K638-B638,""))</f>
        <v/>
      </c>
      <c r="P638" s="2" t="str">
        <f aca="false">IF(M638="","",IF(M638&gt;0,1,0))</f>
        <v/>
      </c>
    </row>
    <row r="639" customFormat="false" ht="15" hidden="false" customHeight="false" outlineLevel="0" collapsed="false">
      <c r="M639" s="24" t="str">
        <f aca="false">IF(OR(I639="",J639=""),"",IF(E639="Buy",(J639-I639)/I639,(I639-J639)/I639))</f>
        <v/>
      </c>
      <c r="N639" s="25" t="str">
        <f aca="false">IF(OR(I639="",J639="",I639=G639),"",IF(E639="Buy",(J639-I639)/(I639-G639),(I639-J639)/(G639-I639)))</f>
        <v/>
      </c>
      <c r="O639" s="2" t="str">
        <f aca="false">IF(OR(B639="",K639=""),"",IFERROR(K639-B639,""))</f>
        <v/>
      </c>
      <c r="P639" s="2" t="str">
        <f aca="false">IF(M639="","",IF(M639&gt;0,1,0))</f>
        <v/>
      </c>
    </row>
    <row r="640" customFormat="false" ht="15" hidden="false" customHeight="false" outlineLevel="0" collapsed="false">
      <c r="M640" s="24" t="str">
        <f aca="false">IF(OR(I640="",J640=""),"",IF(E640="Buy",(J640-I640)/I640,(I640-J640)/I640))</f>
        <v/>
      </c>
      <c r="N640" s="25" t="str">
        <f aca="false">IF(OR(I640="",J640="",I640=G640),"",IF(E640="Buy",(J640-I640)/(I640-G640),(I640-J640)/(G640-I640)))</f>
        <v/>
      </c>
      <c r="O640" s="2" t="str">
        <f aca="false">IF(OR(B640="",K640=""),"",IFERROR(K640-B640,""))</f>
        <v/>
      </c>
      <c r="P640" s="2" t="str">
        <f aca="false">IF(M640="","",IF(M640&gt;0,1,0))</f>
        <v/>
      </c>
    </row>
    <row r="641" customFormat="false" ht="15" hidden="false" customHeight="false" outlineLevel="0" collapsed="false">
      <c r="M641" s="24" t="str">
        <f aca="false">IF(OR(I641="",J641=""),"",IF(E641="Buy",(J641-I641)/I641,(I641-J641)/I641))</f>
        <v/>
      </c>
      <c r="N641" s="25" t="str">
        <f aca="false">IF(OR(I641="",J641="",I641=G641),"",IF(E641="Buy",(J641-I641)/(I641-G641),(I641-J641)/(G641-I641)))</f>
        <v/>
      </c>
      <c r="O641" s="2" t="str">
        <f aca="false">IF(OR(B641="",K641=""),"",IFERROR(K641-B641,""))</f>
        <v/>
      </c>
      <c r="P641" s="2" t="str">
        <f aca="false">IF(M641="","",IF(M641&gt;0,1,0))</f>
        <v/>
      </c>
    </row>
    <row r="642" customFormat="false" ht="15" hidden="false" customHeight="false" outlineLevel="0" collapsed="false">
      <c r="M642" s="24" t="str">
        <f aca="false">IF(OR(I642="",J642=""),"",IF(E642="Buy",(J642-I642)/I642,(I642-J642)/I642))</f>
        <v/>
      </c>
      <c r="N642" s="25" t="str">
        <f aca="false">IF(OR(I642="",J642="",I642=G642),"",IF(E642="Buy",(J642-I642)/(I642-G642),(I642-J642)/(G642-I642)))</f>
        <v/>
      </c>
      <c r="O642" s="2" t="str">
        <f aca="false">IF(OR(B642="",K642=""),"",IFERROR(K642-B642,""))</f>
        <v/>
      </c>
      <c r="P642" s="2" t="str">
        <f aca="false">IF(M642="","",IF(M642&gt;0,1,0))</f>
        <v/>
      </c>
    </row>
    <row r="643" customFormat="false" ht="15" hidden="false" customHeight="false" outlineLevel="0" collapsed="false">
      <c r="M643" s="24" t="str">
        <f aca="false">IF(OR(I643="",J643=""),"",IF(E643="Buy",(J643-I643)/I643,(I643-J643)/I643))</f>
        <v/>
      </c>
      <c r="N643" s="25" t="str">
        <f aca="false">IF(OR(I643="",J643="",I643=G643),"",IF(E643="Buy",(J643-I643)/(I643-G643),(I643-J643)/(G643-I643)))</f>
        <v/>
      </c>
      <c r="O643" s="2" t="str">
        <f aca="false">IF(OR(B643="",K643=""),"",IFERROR(K643-B643,""))</f>
        <v/>
      </c>
      <c r="P643" s="2" t="str">
        <f aca="false">IF(M643="","",IF(M643&gt;0,1,0))</f>
        <v/>
      </c>
    </row>
    <row r="644" customFormat="false" ht="15" hidden="false" customHeight="false" outlineLevel="0" collapsed="false">
      <c r="M644" s="24" t="str">
        <f aca="false">IF(OR(I644="",J644=""),"",IF(E644="Buy",(J644-I644)/I644,(I644-J644)/I644))</f>
        <v/>
      </c>
      <c r="N644" s="25" t="str">
        <f aca="false">IF(OR(I644="",J644="",I644=G644),"",IF(E644="Buy",(J644-I644)/(I644-G644),(I644-J644)/(G644-I644)))</f>
        <v/>
      </c>
      <c r="O644" s="2" t="str">
        <f aca="false">IF(OR(B644="",K644=""),"",IFERROR(K644-B644,""))</f>
        <v/>
      </c>
      <c r="P644" s="2" t="str">
        <f aca="false">IF(M644="","",IF(M644&gt;0,1,0))</f>
        <v/>
      </c>
    </row>
    <row r="645" customFormat="false" ht="15" hidden="false" customHeight="false" outlineLevel="0" collapsed="false">
      <c r="M645" s="24" t="str">
        <f aca="false">IF(OR(I645="",J645=""),"",IF(E645="Buy",(J645-I645)/I645,(I645-J645)/I645))</f>
        <v/>
      </c>
      <c r="N645" s="25" t="str">
        <f aca="false">IF(OR(I645="",J645="",I645=G645),"",IF(E645="Buy",(J645-I645)/(I645-G645),(I645-J645)/(G645-I645)))</f>
        <v/>
      </c>
      <c r="O645" s="2" t="str">
        <f aca="false">IF(OR(B645="",K645=""),"",IFERROR(K645-B645,""))</f>
        <v/>
      </c>
      <c r="P645" s="2" t="str">
        <f aca="false">IF(M645="","",IF(M645&gt;0,1,0))</f>
        <v/>
      </c>
    </row>
    <row r="646" customFormat="false" ht="15" hidden="false" customHeight="false" outlineLevel="0" collapsed="false">
      <c r="M646" s="24" t="str">
        <f aca="false">IF(OR(I646="",J646=""),"",IF(E646="Buy",(J646-I646)/I646,(I646-J646)/I646))</f>
        <v/>
      </c>
      <c r="N646" s="25" t="str">
        <f aca="false">IF(OR(I646="",J646="",I646=G646),"",IF(E646="Buy",(J646-I646)/(I646-G646),(I646-J646)/(G646-I646)))</f>
        <v/>
      </c>
      <c r="O646" s="2" t="str">
        <f aca="false">IF(OR(B646="",K646=""),"",IFERROR(K646-B646,""))</f>
        <v/>
      </c>
      <c r="P646" s="2" t="str">
        <f aca="false">IF(M646="","",IF(M646&gt;0,1,0))</f>
        <v/>
      </c>
    </row>
    <row r="647" customFormat="false" ht="15" hidden="false" customHeight="false" outlineLevel="0" collapsed="false">
      <c r="M647" s="24" t="str">
        <f aca="false">IF(OR(I647="",J647=""),"",IF(E647="Buy",(J647-I647)/I647,(I647-J647)/I647))</f>
        <v/>
      </c>
      <c r="N647" s="25" t="str">
        <f aca="false">IF(OR(I647="",J647="",I647=G647),"",IF(E647="Buy",(J647-I647)/(I647-G647),(I647-J647)/(G647-I647)))</f>
        <v/>
      </c>
      <c r="O647" s="2" t="str">
        <f aca="false">IF(OR(B647="",K647=""),"",IFERROR(K647-B647,""))</f>
        <v/>
      </c>
      <c r="P647" s="2" t="str">
        <f aca="false">IF(M647="","",IF(M647&gt;0,1,0))</f>
        <v/>
      </c>
    </row>
    <row r="648" customFormat="false" ht="15" hidden="false" customHeight="false" outlineLevel="0" collapsed="false">
      <c r="M648" s="24" t="str">
        <f aca="false">IF(OR(I648="",J648=""),"",IF(E648="Buy",(J648-I648)/I648,(I648-J648)/I648))</f>
        <v/>
      </c>
      <c r="N648" s="25" t="str">
        <f aca="false">IF(OR(I648="",J648="",I648=G648),"",IF(E648="Buy",(J648-I648)/(I648-G648),(I648-J648)/(G648-I648)))</f>
        <v/>
      </c>
      <c r="O648" s="2" t="str">
        <f aca="false">IF(OR(B648="",K648=""),"",IFERROR(K648-B648,""))</f>
        <v/>
      </c>
      <c r="P648" s="2" t="str">
        <f aca="false">IF(M648="","",IF(M648&gt;0,1,0))</f>
        <v/>
      </c>
    </row>
    <row r="649" customFormat="false" ht="15" hidden="false" customHeight="false" outlineLevel="0" collapsed="false">
      <c r="M649" s="24" t="str">
        <f aca="false">IF(OR(I649="",J649=""),"",IF(E649="Buy",(J649-I649)/I649,(I649-J649)/I649))</f>
        <v/>
      </c>
      <c r="N649" s="25" t="str">
        <f aca="false">IF(OR(I649="",J649="",I649=G649),"",IF(E649="Buy",(J649-I649)/(I649-G649),(I649-J649)/(G649-I649)))</f>
        <v/>
      </c>
      <c r="O649" s="2" t="str">
        <f aca="false">IF(OR(B649="",K649=""),"",IFERROR(K649-B649,""))</f>
        <v/>
      </c>
      <c r="P649" s="2" t="str">
        <f aca="false">IF(M649="","",IF(M649&gt;0,1,0))</f>
        <v/>
      </c>
    </row>
    <row r="650" customFormat="false" ht="15" hidden="false" customHeight="false" outlineLevel="0" collapsed="false">
      <c r="M650" s="24" t="str">
        <f aca="false">IF(OR(I650="",J650=""),"",IF(E650="Buy",(J650-I650)/I650,(I650-J650)/I650))</f>
        <v/>
      </c>
      <c r="N650" s="25" t="str">
        <f aca="false">IF(OR(I650="",J650="",I650=G650),"",IF(E650="Buy",(J650-I650)/(I650-G650),(I650-J650)/(G650-I650)))</f>
        <v/>
      </c>
      <c r="O650" s="2" t="str">
        <f aca="false">IF(OR(B650="",K650=""),"",IFERROR(K650-B650,""))</f>
        <v/>
      </c>
      <c r="P650" s="2" t="str">
        <f aca="false">IF(M650="","",IF(M650&gt;0,1,0))</f>
        <v/>
      </c>
    </row>
    <row r="651" customFormat="false" ht="15" hidden="false" customHeight="false" outlineLevel="0" collapsed="false">
      <c r="M651" s="24" t="str">
        <f aca="false">IF(OR(I651="",J651=""),"",IF(E651="Buy",(J651-I651)/I651,(I651-J651)/I651))</f>
        <v/>
      </c>
      <c r="N651" s="25" t="str">
        <f aca="false">IF(OR(I651="",J651="",I651=G651),"",IF(E651="Buy",(J651-I651)/(I651-G651),(I651-J651)/(G651-I651)))</f>
        <v/>
      </c>
      <c r="O651" s="2" t="str">
        <f aca="false">IF(OR(B651="",K651=""),"",IFERROR(K651-B651,""))</f>
        <v/>
      </c>
      <c r="P651" s="2" t="str">
        <f aca="false">IF(M651="","",IF(M651&gt;0,1,0))</f>
        <v/>
      </c>
    </row>
    <row r="652" customFormat="false" ht="15" hidden="false" customHeight="false" outlineLevel="0" collapsed="false">
      <c r="M652" s="24" t="str">
        <f aca="false">IF(OR(I652="",J652=""),"",IF(E652="Buy",(J652-I652)/I652,(I652-J652)/I652))</f>
        <v/>
      </c>
      <c r="N652" s="25" t="str">
        <f aca="false">IF(OR(I652="",J652="",I652=G652),"",IF(E652="Buy",(J652-I652)/(I652-G652),(I652-J652)/(G652-I652)))</f>
        <v/>
      </c>
      <c r="O652" s="2" t="str">
        <f aca="false">IF(OR(B652="",K652=""),"",IFERROR(K652-B652,""))</f>
        <v/>
      </c>
      <c r="P652" s="2" t="str">
        <f aca="false">IF(M652="","",IF(M652&gt;0,1,0))</f>
        <v/>
      </c>
    </row>
    <row r="653" customFormat="false" ht="15" hidden="false" customHeight="false" outlineLevel="0" collapsed="false">
      <c r="M653" s="24" t="str">
        <f aca="false">IF(OR(I653="",J653=""),"",IF(E653="Buy",(J653-I653)/I653,(I653-J653)/I653))</f>
        <v/>
      </c>
      <c r="N653" s="25" t="str">
        <f aca="false">IF(OR(I653="",J653="",I653=G653),"",IF(E653="Buy",(J653-I653)/(I653-G653),(I653-J653)/(G653-I653)))</f>
        <v/>
      </c>
      <c r="O653" s="2" t="str">
        <f aca="false">IF(OR(B653="",K653=""),"",IFERROR(K653-B653,""))</f>
        <v/>
      </c>
      <c r="P653" s="2" t="str">
        <f aca="false">IF(M653="","",IF(M653&gt;0,1,0))</f>
        <v/>
      </c>
    </row>
    <row r="654" customFormat="false" ht="15" hidden="false" customHeight="false" outlineLevel="0" collapsed="false">
      <c r="M654" s="24" t="str">
        <f aca="false">IF(OR(I654="",J654=""),"",IF(E654="Buy",(J654-I654)/I654,(I654-J654)/I654))</f>
        <v/>
      </c>
      <c r="N654" s="25" t="str">
        <f aca="false">IF(OR(I654="",J654="",I654=G654),"",IF(E654="Buy",(J654-I654)/(I654-G654),(I654-J654)/(G654-I654)))</f>
        <v/>
      </c>
      <c r="O654" s="2" t="str">
        <f aca="false">IF(OR(B654="",K654=""),"",IFERROR(K654-B654,""))</f>
        <v/>
      </c>
      <c r="P654" s="2" t="str">
        <f aca="false">IF(M654="","",IF(M654&gt;0,1,0))</f>
        <v/>
      </c>
    </row>
    <row r="655" customFormat="false" ht="15" hidden="false" customHeight="false" outlineLevel="0" collapsed="false">
      <c r="M655" s="24" t="str">
        <f aca="false">IF(OR(I655="",J655=""),"",IF(E655="Buy",(J655-I655)/I655,(I655-J655)/I655))</f>
        <v/>
      </c>
      <c r="N655" s="25" t="str">
        <f aca="false">IF(OR(I655="",J655="",I655=G655),"",IF(E655="Buy",(J655-I655)/(I655-G655),(I655-J655)/(G655-I655)))</f>
        <v/>
      </c>
      <c r="O655" s="2" t="str">
        <f aca="false">IF(OR(B655="",K655=""),"",IFERROR(K655-B655,""))</f>
        <v/>
      </c>
      <c r="P655" s="2" t="str">
        <f aca="false">IF(M655="","",IF(M655&gt;0,1,0))</f>
        <v/>
      </c>
    </row>
    <row r="656" customFormat="false" ht="15" hidden="false" customHeight="false" outlineLevel="0" collapsed="false">
      <c r="M656" s="24" t="str">
        <f aca="false">IF(OR(I656="",J656=""),"",IF(E656="Buy",(J656-I656)/I656,(I656-J656)/I656))</f>
        <v/>
      </c>
      <c r="N656" s="25" t="str">
        <f aca="false">IF(OR(I656="",J656="",I656=G656),"",IF(E656="Buy",(J656-I656)/(I656-G656),(I656-J656)/(G656-I656)))</f>
        <v/>
      </c>
      <c r="O656" s="2" t="str">
        <f aca="false">IF(OR(B656="",K656=""),"",IFERROR(K656-B656,""))</f>
        <v/>
      </c>
      <c r="P656" s="2" t="str">
        <f aca="false">IF(M656="","",IF(M656&gt;0,1,0))</f>
        <v/>
      </c>
    </row>
    <row r="657" customFormat="false" ht="15" hidden="false" customHeight="false" outlineLevel="0" collapsed="false">
      <c r="M657" s="24" t="str">
        <f aca="false">IF(OR(I657="",J657=""),"",IF(E657="Buy",(J657-I657)/I657,(I657-J657)/I657))</f>
        <v/>
      </c>
      <c r="N657" s="25" t="str">
        <f aca="false">IF(OR(I657="",J657="",I657=G657),"",IF(E657="Buy",(J657-I657)/(I657-G657),(I657-J657)/(G657-I657)))</f>
        <v/>
      </c>
      <c r="O657" s="2" t="str">
        <f aca="false">IF(OR(B657="",K657=""),"",IFERROR(K657-B657,""))</f>
        <v/>
      </c>
      <c r="P657" s="2" t="str">
        <f aca="false">IF(M657="","",IF(M657&gt;0,1,0))</f>
        <v/>
      </c>
    </row>
    <row r="658" customFormat="false" ht="15" hidden="false" customHeight="false" outlineLevel="0" collapsed="false">
      <c r="M658" s="24" t="str">
        <f aca="false">IF(OR(I658="",J658=""),"",IF(E658="Buy",(J658-I658)/I658,(I658-J658)/I658))</f>
        <v/>
      </c>
      <c r="N658" s="25" t="str">
        <f aca="false">IF(OR(I658="",J658="",I658=G658),"",IF(E658="Buy",(J658-I658)/(I658-G658),(I658-J658)/(G658-I658)))</f>
        <v/>
      </c>
      <c r="O658" s="2" t="str">
        <f aca="false">IF(OR(B658="",K658=""),"",IFERROR(K658-B658,""))</f>
        <v/>
      </c>
      <c r="P658" s="2" t="str">
        <f aca="false">IF(M658="","",IF(M658&gt;0,1,0))</f>
        <v/>
      </c>
    </row>
    <row r="659" customFormat="false" ht="15" hidden="false" customHeight="false" outlineLevel="0" collapsed="false">
      <c r="M659" s="24" t="str">
        <f aca="false">IF(OR(I659="",J659=""),"",IF(E659="Buy",(J659-I659)/I659,(I659-J659)/I659))</f>
        <v/>
      </c>
      <c r="N659" s="25" t="str">
        <f aca="false">IF(OR(I659="",J659="",I659=G659),"",IF(E659="Buy",(J659-I659)/(I659-G659),(I659-J659)/(G659-I659)))</f>
        <v/>
      </c>
      <c r="O659" s="2" t="str">
        <f aca="false">IF(OR(B659="",K659=""),"",IFERROR(K659-B659,""))</f>
        <v/>
      </c>
      <c r="P659" s="2" t="str">
        <f aca="false">IF(M659="","",IF(M659&gt;0,1,0))</f>
        <v/>
      </c>
    </row>
    <row r="660" customFormat="false" ht="15" hidden="false" customHeight="false" outlineLevel="0" collapsed="false">
      <c r="M660" s="24" t="str">
        <f aca="false">IF(OR(I660="",J660=""),"",IF(E660="Buy",(J660-I660)/I660,(I660-J660)/I660))</f>
        <v/>
      </c>
      <c r="N660" s="25" t="str">
        <f aca="false">IF(OR(I660="",J660="",I660=G660),"",IF(E660="Buy",(J660-I660)/(I660-G660),(I660-J660)/(G660-I660)))</f>
        <v/>
      </c>
      <c r="O660" s="2" t="str">
        <f aca="false">IF(OR(B660="",K660=""),"",IFERROR(K660-B660,""))</f>
        <v/>
      </c>
      <c r="P660" s="2" t="str">
        <f aca="false">IF(M660="","",IF(M660&gt;0,1,0))</f>
        <v/>
      </c>
    </row>
    <row r="661" customFormat="false" ht="15" hidden="false" customHeight="false" outlineLevel="0" collapsed="false">
      <c r="M661" s="24" t="str">
        <f aca="false">IF(OR(I661="",J661=""),"",IF(E661="Buy",(J661-I661)/I661,(I661-J661)/I661))</f>
        <v/>
      </c>
      <c r="N661" s="25" t="str">
        <f aca="false">IF(OR(I661="",J661="",I661=G661),"",IF(E661="Buy",(J661-I661)/(I661-G661),(I661-J661)/(G661-I661)))</f>
        <v/>
      </c>
      <c r="O661" s="2" t="str">
        <f aca="false">IF(OR(B661="",K661=""),"",IFERROR(K661-B661,""))</f>
        <v/>
      </c>
      <c r="P661" s="2" t="str">
        <f aca="false">IF(M661="","",IF(M661&gt;0,1,0))</f>
        <v/>
      </c>
    </row>
    <row r="662" customFormat="false" ht="15" hidden="false" customHeight="false" outlineLevel="0" collapsed="false">
      <c r="M662" s="24" t="str">
        <f aca="false">IF(OR(I662="",J662=""),"",IF(E662="Buy",(J662-I662)/I662,(I662-J662)/I662))</f>
        <v/>
      </c>
      <c r="N662" s="25" t="str">
        <f aca="false">IF(OR(I662="",J662="",I662=G662),"",IF(E662="Buy",(J662-I662)/(I662-G662),(I662-J662)/(G662-I662)))</f>
        <v/>
      </c>
      <c r="O662" s="2" t="str">
        <f aca="false">IF(OR(B662="",K662=""),"",IFERROR(K662-B662,""))</f>
        <v/>
      </c>
      <c r="P662" s="2" t="str">
        <f aca="false">IF(M662="","",IF(M662&gt;0,1,0))</f>
        <v/>
      </c>
    </row>
    <row r="663" customFormat="false" ht="15" hidden="false" customHeight="false" outlineLevel="0" collapsed="false">
      <c r="M663" s="24" t="str">
        <f aca="false">IF(OR(I663="",J663=""),"",IF(E663="Buy",(J663-I663)/I663,(I663-J663)/I663))</f>
        <v/>
      </c>
      <c r="N663" s="25" t="str">
        <f aca="false">IF(OR(I663="",J663="",I663=G663),"",IF(E663="Buy",(J663-I663)/(I663-G663),(I663-J663)/(G663-I663)))</f>
        <v/>
      </c>
      <c r="O663" s="2" t="str">
        <f aca="false">IF(OR(B663="",K663=""),"",IFERROR(K663-B663,""))</f>
        <v/>
      </c>
      <c r="P663" s="2" t="str">
        <f aca="false">IF(M663="","",IF(M663&gt;0,1,0))</f>
        <v/>
      </c>
    </row>
    <row r="664" customFormat="false" ht="15" hidden="false" customHeight="false" outlineLevel="0" collapsed="false">
      <c r="M664" s="24" t="str">
        <f aca="false">IF(OR(I664="",J664=""),"",IF(E664="Buy",(J664-I664)/I664,(I664-J664)/I664))</f>
        <v/>
      </c>
      <c r="N664" s="25" t="str">
        <f aca="false">IF(OR(I664="",J664="",I664=G664),"",IF(E664="Buy",(J664-I664)/(I664-G664),(I664-J664)/(G664-I664)))</f>
        <v/>
      </c>
      <c r="O664" s="2" t="str">
        <f aca="false">IF(OR(B664="",K664=""),"",IFERROR(K664-B664,""))</f>
        <v/>
      </c>
      <c r="P664" s="2" t="str">
        <f aca="false">IF(M664="","",IF(M664&gt;0,1,0))</f>
        <v/>
      </c>
    </row>
    <row r="665" customFormat="false" ht="15" hidden="false" customHeight="false" outlineLevel="0" collapsed="false">
      <c r="M665" s="24" t="str">
        <f aca="false">IF(OR(I665="",J665=""),"",IF(E665="Buy",(J665-I665)/I665,(I665-J665)/I665))</f>
        <v/>
      </c>
      <c r="N665" s="25" t="str">
        <f aca="false">IF(OR(I665="",J665="",I665=G665),"",IF(E665="Buy",(J665-I665)/(I665-G665),(I665-J665)/(G665-I665)))</f>
        <v/>
      </c>
      <c r="O665" s="2" t="str">
        <f aca="false">IF(OR(B665="",K665=""),"",IFERROR(K665-B665,""))</f>
        <v/>
      </c>
      <c r="P665" s="2" t="str">
        <f aca="false">IF(M665="","",IF(M665&gt;0,1,0))</f>
        <v/>
      </c>
    </row>
    <row r="666" customFormat="false" ht="15" hidden="false" customHeight="false" outlineLevel="0" collapsed="false">
      <c r="M666" s="24" t="str">
        <f aca="false">IF(OR(I666="",J666=""),"",IF(E666="Buy",(J666-I666)/I666,(I666-J666)/I666))</f>
        <v/>
      </c>
      <c r="N666" s="25" t="str">
        <f aca="false">IF(OR(I666="",J666="",I666=G666),"",IF(E666="Buy",(J666-I666)/(I666-G666),(I666-J666)/(G666-I666)))</f>
        <v/>
      </c>
      <c r="O666" s="2" t="str">
        <f aca="false">IF(OR(B666="",K666=""),"",IFERROR(K666-B666,""))</f>
        <v/>
      </c>
      <c r="P666" s="2" t="str">
        <f aca="false">IF(M666="","",IF(M666&gt;0,1,0))</f>
        <v/>
      </c>
    </row>
    <row r="667" customFormat="false" ht="15" hidden="false" customHeight="false" outlineLevel="0" collapsed="false">
      <c r="M667" s="24" t="str">
        <f aca="false">IF(OR(I667="",J667=""),"",IF(E667="Buy",(J667-I667)/I667,(I667-J667)/I667))</f>
        <v/>
      </c>
      <c r="N667" s="25" t="str">
        <f aca="false">IF(OR(I667="",J667="",I667=G667),"",IF(E667="Buy",(J667-I667)/(I667-G667),(I667-J667)/(G667-I667)))</f>
        <v/>
      </c>
      <c r="O667" s="2" t="str">
        <f aca="false">IF(OR(B667="",K667=""),"",IFERROR(K667-B667,""))</f>
        <v/>
      </c>
      <c r="P667" s="2" t="str">
        <f aca="false">IF(M667="","",IF(M667&gt;0,1,0))</f>
        <v/>
      </c>
    </row>
    <row r="668" customFormat="false" ht="15" hidden="false" customHeight="false" outlineLevel="0" collapsed="false">
      <c r="M668" s="24" t="str">
        <f aca="false">IF(OR(I668="",J668=""),"",IF(E668="Buy",(J668-I668)/I668,(I668-J668)/I668))</f>
        <v/>
      </c>
      <c r="N668" s="25" t="str">
        <f aca="false">IF(OR(I668="",J668="",I668=G668),"",IF(E668="Buy",(J668-I668)/(I668-G668),(I668-J668)/(G668-I668)))</f>
        <v/>
      </c>
      <c r="O668" s="2" t="str">
        <f aca="false">IF(OR(B668="",K668=""),"",IFERROR(K668-B668,""))</f>
        <v/>
      </c>
      <c r="P668" s="2" t="str">
        <f aca="false">IF(M668="","",IF(M668&gt;0,1,0))</f>
        <v/>
      </c>
    </row>
    <row r="669" customFormat="false" ht="15" hidden="false" customHeight="false" outlineLevel="0" collapsed="false">
      <c r="M669" s="24" t="str">
        <f aca="false">IF(OR(I669="",J669=""),"",IF(E669="Buy",(J669-I669)/I669,(I669-J669)/I669))</f>
        <v/>
      </c>
      <c r="N669" s="25" t="str">
        <f aca="false">IF(OR(I669="",J669="",I669=G669),"",IF(E669="Buy",(J669-I669)/(I669-G669),(I669-J669)/(G669-I669)))</f>
        <v/>
      </c>
      <c r="O669" s="2" t="str">
        <f aca="false">IF(OR(B669="",K669=""),"",IFERROR(K669-B669,""))</f>
        <v/>
      </c>
      <c r="P669" s="2" t="str">
        <f aca="false">IF(M669="","",IF(M669&gt;0,1,0))</f>
        <v/>
      </c>
    </row>
    <row r="670" customFormat="false" ht="15" hidden="false" customHeight="false" outlineLevel="0" collapsed="false">
      <c r="M670" s="24" t="str">
        <f aca="false">IF(OR(I670="",J670=""),"",IF(E670="Buy",(J670-I670)/I670,(I670-J670)/I670))</f>
        <v/>
      </c>
      <c r="N670" s="25" t="str">
        <f aca="false">IF(OR(I670="",J670="",I670=G670),"",IF(E670="Buy",(J670-I670)/(I670-G670),(I670-J670)/(G670-I670)))</f>
        <v/>
      </c>
      <c r="O670" s="2" t="str">
        <f aca="false">IF(OR(B670="",K670=""),"",IFERROR(K670-B670,""))</f>
        <v/>
      </c>
      <c r="P670" s="2" t="str">
        <f aca="false">IF(M670="","",IF(M670&gt;0,1,0))</f>
        <v/>
      </c>
    </row>
    <row r="671" customFormat="false" ht="15" hidden="false" customHeight="false" outlineLevel="0" collapsed="false">
      <c r="M671" s="24" t="str">
        <f aca="false">IF(OR(I671="",J671=""),"",IF(E671="Buy",(J671-I671)/I671,(I671-J671)/I671))</f>
        <v/>
      </c>
      <c r="N671" s="25" t="str">
        <f aca="false">IF(OR(I671="",J671="",I671=G671),"",IF(E671="Buy",(J671-I671)/(I671-G671),(I671-J671)/(G671-I671)))</f>
        <v/>
      </c>
      <c r="O671" s="2" t="str">
        <f aca="false">IF(OR(B671="",K671=""),"",IFERROR(K671-B671,""))</f>
        <v/>
      </c>
      <c r="P671" s="2" t="str">
        <f aca="false">IF(M671="","",IF(M671&gt;0,1,0))</f>
        <v/>
      </c>
    </row>
    <row r="672" customFormat="false" ht="15" hidden="false" customHeight="false" outlineLevel="0" collapsed="false">
      <c r="M672" s="24" t="str">
        <f aca="false">IF(OR(I672="",J672=""),"",IF(E672="Buy",(J672-I672)/I672,(I672-J672)/I672))</f>
        <v/>
      </c>
      <c r="N672" s="25" t="str">
        <f aca="false">IF(OR(I672="",J672="",I672=G672),"",IF(E672="Buy",(J672-I672)/(I672-G672),(I672-J672)/(G672-I672)))</f>
        <v/>
      </c>
      <c r="O672" s="2" t="str">
        <f aca="false">IF(OR(B672="",K672=""),"",IFERROR(K672-B672,""))</f>
        <v/>
      </c>
      <c r="P672" s="2" t="str">
        <f aca="false">IF(M672="","",IF(M672&gt;0,1,0))</f>
        <v/>
      </c>
    </row>
    <row r="673" customFormat="false" ht="15" hidden="false" customHeight="false" outlineLevel="0" collapsed="false">
      <c r="M673" s="24" t="str">
        <f aca="false">IF(OR(I673="",J673=""),"",IF(E673="Buy",(J673-I673)/I673,(I673-J673)/I673))</f>
        <v/>
      </c>
      <c r="N673" s="25" t="str">
        <f aca="false">IF(OR(I673="",J673="",I673=G673),"",IF(E673="Buy",(J673-I673)/(I673-G673),(I673-J673)/(G673-I673)))</f>
        <v/>
      </c>
      <c r="O673" s="2" t="str">
        <f aca="false">IF(OR(B673="",K673=""),"",IFERROR(K673-B673,""))</f>
        <v/>
      </c>
      <c r="P673" s="2" t="str">
        <f aca="false">IF(M673="","",IF(M673&gt;0,1,0))</f>
        <v/>
      </c>
    </row>
    <row r="674" customFormat="false" ht="15" hidden="false" customHeight="false" outlineLevel="0" collapsed="false">
      <c r="M674" s="24" t="str">
        <f aca="false">IF(OR(I674="",J674=""),"",IF(E674="Buy",(J674-I674)/I674,(I674-J674)/I674))</f>
        <v/>
      </c>
      <c r="N674" s="25" t="str">
        <f aca="false">IF(OR(I674="",J674="",I674=G674),"",IF(E674="Buy",(J674-I674)/(I674-G674),(I674-J674)/(G674-I674)))</f>
        <v/>
      </c>
      <c r="O674" s="2" t="str">
        <f aca="false">IF(OR(B674="",K674=""),"",IFERROR(K674-B674,""))</f>
        <v/>
      </c>
      <c r="P674" s="2" t="str">
        <f aca="false">IF(M674="","",IF(M674&gt;0,1,0))</f>
        <v/>
      </c>
    </row>
    <row r="675" customFormat="false" ht="15" hidden="false" customHeight="false" outlineLevel="0" collapsed="false">
      <c r="M675" s="24" t="str">
        <f aca="false">IF(OR(I675="",J675=""),"",IF(E675="Buy",(J675-I675)/I675,(I675-J675)/I675))</f>
        <v/>
      </c>
      <c r="N675" s="25" t="str">
        <f aca="false">IF(OR(I675="",J675="",I675=G675),"",IF(E675="Buy",(J675-I675)/(I675-G675),(I675-J675)/(G675-I675)))</f>
        <v/>
      </c>
      <c r="O675" s="2" t="str">
        <f aca="false">IF(OR(B675="",K675=""),"",IFERROR(K675-B675,""))</f>
        <v/>
      </c>
      <c r="P675" s="2" t="str">
        <f aca="false">IF(M675="","",IF(M675&gt;0,1,0))</f>
        <v/>
      </c>
    </row>
    <row r="676" customFormat="false" ht="15" hidden="false" customHeight="false" outlineLevel="0" collapsed="false">
      <c r="M676" s="24" t="str">
        <f aca="false">IF(OR(I676="",J676=""),"",IF(E676="Buy",(J676-I676)/I676,(I676-J676)/I676))</f>
        <v/>
      </c>
      <c r="N676" s="25" t="str">
        <f aca="false">IF(OR(I676="",J676="",I676=G676),"",IF(E676="Buy",(J676-I676)/(I676-G676),(I676-J676)/(G676-I676)))</f>
        <v/>
      </c>
      <c r="O676" s="2" t="str">
        <f aca="false">IF(OR(B676="",K676=""),"",IFERROR(K676-B676,""))</f>
        <v/>
      </c>
      <c r="P676" s="2" t="str">
        <f aca="false">IF(M676="","",IF(M676&gt;0,1,0))</f>
        <v/>
      </c>
    </row>
    <row r="677" customFormat="false" ht="15" hidden="false" customHeight="false" outlineLevel="0" collapsed="false">
      <c r="M677" s="24" t="str">
        <f aca="false">IF(OR(I677="",J677=""),"",IF(E677="Buy",(J677-I677)/I677,(I677-J677)/I677))</f>
        <v/>
      </c>
      <c r="N677" s="25" t="str">
        <f aca="false">IF(OR(I677="",J677="",I677=G677),"",IF(E677="Buy",(J677-I677)/(I677-G677),(I677-J677)/(G677-I677)))</f>
        <v/>
      </c>
      <c r="O677" s="2" t="str">
        <f aca="false">IF(OR(B677="",K677=""),"",IFERROR(K677-B677,""))</f>
        <v/>
      </c>
      <c r="P677" s="2" t="str">
        <f aca="false">IF(M677="","",IF(M677&gt;0,1,0))</f>
        <v/>
      </c>
    </row>
    <row r="678" customFormat="false" ht="15" hidden="false" customHeight="false" outlineLevel="0" collapsed="false">
      <c r="M678" s="24" t="str">
        <f aca="false">IF(OR(I678="",J678=""),"",IF(E678="Buy",(J678-I678)/I678,(I678-J678)/I678))</f>
        <v/>
      </c>
      <c r="N678" s="25" t="str">
        <f aca="false">IF(OR(I678="",J678="",I678=G678),"",IF(E678="Buy",(J678-I678)/(I678-G678),(I678-J678)/(G678-I678)))</f>
        <v/>
      </c>
      <c r="O678" s="2" t="str">
        <f aca="false">IF(OR(B678="",K678=""),"",IFERROR(K678-B678,""))</f>
        <v/>
      </c>
      <c r="P678" s="2" t="str">
        <f aca="false">IF(M678="","",IF(M678&gt;0,1,0))</f>
        <v/>
      </c>
    </row>
    <row r="679" customFormat="false" ht="15" hidden="false" customHeight="false" outlineLevel="0" collapsed="false">
      <c r="M679" s="24" t="str">
        <f aca="false">IF(OR(I679="",J679=""),"",IF(E679="Buy",(J679-I679)/I679,(I679-J679)/I679))</f>
        <v/>
      </c>
      <c r="N679" s="25" t="str">
        <f aca="false">IF(OR(I679="",J679="",I679=G679),"",IF(E679="Buy",(J679-I679)/(I679-G679),(I679-J679)/(G679-I679)))</f>
        <v/>
      </c>
      <c r="O679" s="2" t="str">
        <f aca="false">IF(OR(B679="",K679=""),"",IFERROR(K679-B679,""))</f>
        <v/>
      </c>
      <c r="P679" s="2" t="str">
        <f aca="false">IF(M679="","",IF(M679&gt;0,1,0))</f>
        <v/>
      </c>
    </row>
    <row r="680" customFormat="false" ht="15" hidden="false" customHeight="false" outlineLevel="0" collapsed="false">
      <c r="M680" s="24" t="str">
        <f aca="false">IF(OR(I680="",J680=""),"",IF(E680="Buy",(J680-I680)/I680,(I680-J680)/I680))</f>
        <v/>
      </c>
      <c r="N680" s="25" t="str">
        <f aca="false">IF(OR(I680="",J680="",I680=G680),"",IF(E680="Buy",(J680-I680)/(I680-G680),(I680-J680)/(G680-I680)))</f>
        <v/>
      </c>
      <c r="O680" s="2" t="str">
        <f aca="false">IF(OR(B680="",K680=""),"",IFERROR(K680-B680,""))</f>
        <v/>
      </c>
      <c r="P680" s="2" t="str">
        <f aca="false">IF(M680="","",IF(M680&gt;0,1,0))</f>
        <v/>
      </c>
    </row>
    <row r="681" customFormat="false" ht="15" hidden="false" customHeight="false" outlineLevel="0" collapsed="false">
      <c r="M681" s="24" t="str">
        <f aca="false">IF(OR(I681="",J681=""),"",IF(E681="Buy",(J681-I681)/I681,(I681-J681)/I681))</f>
        <v/>
      </c>
      <c r="N681" s="25" t="str">
        <f aca="false">IF(OR(I681="",J681="",I681=G681),"",IF(E681="Buy",(J681-I681)/(I681-G681),(I681-J681)/(G681-I681)))</f>
        <v/>
      </c>
      <c r="O681" s="2" t="str">
        <f aca="false">IF(OR(B681="",K681=""),"",IFERROR(K681-B681,""))</f>
        <v/>
      </c>
      <c r="P681" s="2" t="str">
        <f aca="false">IF(M681="","",IF(M681&gt;0,1,0))</f>
        <v/>
      </c>
    </row>
    <row r="682" customFormat="false" ht="15" hidden="false" customHeight="false" outlineLevel="0" collapsed="false">
      <c r="M682" s="24" t="str">
        <f aca="false">IF(OR(I682="",J682=""),"",IF(E682="Buy",(J682-I682)/I682,(I682-J682)/I682))</f>
        <v/>
      </c>
      <c r="N682" s="25" t="str">
        <f aca="false">IF(OR(I682="",J682="",I682=G682),"",IF(E682="Buy",(J682-I682)/(I682-G682),(I682-J682)/(G682-I682)))</f>
        <v/>
      </c>
      <c r="O682" s="2" t="str">
        <f aca="false">IF(OR(B682="",K682=""),"",IFERROR(K682-B682,""))</f>
        <v/>
      </c>
      <c r="P682" s="2" t="str">
        <f aca="false">IF(M682="","",IF(M682&gt;0,1,0))</f>
        <v/>
      </c>
    </row>
    <row r="683" customFormat="false" ht="15" hidden="false" customHeight="false" outlineLevel="0" collapsed="false">
      <c r="M683" s="24" t="str">
        <f aca="false">IF(OR(I683="",J683=""),"",IF(E683="Buy",(J683-I683)/I683,(I683-J683)/I683))</f>
        <v/>
      </c>
      <c r="N683" s="25" t="str">
        <f aca="false">IF(OR(I683="",J683="",I683=G683),"",IF(E683="Buy",(J683-I683)/(I683-G683),(I683-J683)/(G683-I683)))</f>
        <v/>
      </c>
      <c r="O683" s="2" t="str">
        <f aca="false">IF(OR(B683="",K683=""),"",IFERROR(K683-B683,""))</f>
        <v/>
      </c>
      <c r="P683" s="2" t="str">
        <f aca="false">IF(M683="","",IF(M683&gt;0,1,0))</f>
        <v/>
      </c>
    </row>
    <row r="684" customFormat="false" ht="15" hidden="false" customHeight="false" outlineLevel="0" collapsed="false">
      <c r="M684" s="24" t="str">
        <f aca="false">IF(OR(I684="",J684=""),"",IF(E684="Buy",(J684-I684)/I684,(I684-J684)/I684))</f>
        <v/>
      </c>
      <c r="N684" s="25" t="str">
        <f aca="false">IF(OR(I684="",J684="",I684=G684),"",IF(E684="Buy",(J684-I684)/(I684-G684),(I684-J684)/(G684-I684)))</f>
        <v/>
      </c>
      <c r="O684" s="2" t="str">
        <f aca="false">IF(OR(B684="",K684=""),"",IFERROR(K684-B684,""))</f>
        <v/>
      </c>
      <c r="P684" s="2" t="str">
        <f aca="false">IF(M684="","",IF(M684&gt;0,1,0))</f>
        <v/>
      </c>
    </row>
    <row r="685" customFormat="false" ht="15" hidden="false" customHeight="false" outlineLevel="0" collapsed="false">
      <c r="M685" s="24" t="str">
        <f aca="false">IF(OR(I685="",J685=""),"",IF(E685="Buy",(J685-I685)/I685,(I685-J685)/I685))</f>
        <v/>
      </c>
      <c r="N685" s="25" t="str">
        <f aca="false">IF(OR(I685="",J685="",I685=G685),"",IF(E685="Buy",(J685-I685)/(I685-G685),(I685-J685)/(G685-I685)))</f>
        <v/>
      </c>
      <c r="O685" s="2" t="str">
        <f aca="false">IF(OR(B685="",K685=""),"",IFERROR(K685-B685,""))</f>
        <v/>
      </c>
      <c r="P685" s="2" t="str">
        <f aca="false">IF(M685="","",IF(M685&gt;0,1,0))</f>
        <v/>
      </c>
    </row>
    <row r="686" customFormat="false" ht="15" hidden="false" customHeight="false" outlineLevel="0" collapsed="false">
      <c r="M686" s="24" t="str">
        <f aca="false">IF(OR(I686="",J686=""),"",IF(E686="Buy",(J686-I686)/I686,(I686-J686)/I686))</f>
        <v/>
      </c>
      <c r="N686" s="25" t="str">
        <f aca="false">IF(OR(I686="",J686="",I686=G686),"",IF(E686="Buy",(J686-I686)/(I686-G686),(I686-J686)/(G686-I686)))</f>
        <v/>
      </c>
      <c r="O686" s="2" t="str">
        <f aca="false">IF(OR(B686="",K686=""),"",IFERROR(K686-B686,""))</f>
        <v/>
      </c>
      <c r="P686" s="2" t="str">
        <f aca="false">IF(M686="","",IF(M686&gt;0,1,0))</f>
        <v/>
      </c>
    </row>
    <row r="687" customFormat="false" ht="15" hidden="false" customHeight="false" outlineLevel="0" collapsed="false">
      <c r="M687" s="24" t="str">
        <f aca="false">IF(OR(I687="",J687=""),"",IF(E687="Buy",(J687-I687)/I687,(I687-J687)/I687))</f>
        <v/>
      </c>
      <c r="N687" s="25" t="str">
        <f aca="false">IF(OR(I687="",J687="",I687=G687),"",IF(E687="Buy",(J687-I687)/(I687-G687),(I687-J687)/(G687-I687)))</f>
        <v/>
      </c>
      <c r="O687" s="2" t="str">
        <f aca="false">IF(OR(B687="",K687=""),"",IFERROR(K687-B687,""))</f>
        <v/>
      </c>
      <c r="P687" s="2" t="str">
        <f aca="false">IF(M687="","",IF(M687&gt;0,1,0))</f>
        <v/>
      </c>
    </row>
    <row r="688" customFormat="false" ht="15" hidden="false" customHeight="false" outlineLevel="0" collapsed="false">
      <c r="M688" s="24" t="str">
        <f aca="false">IF(OR(I688="",J688=""),"",IF(E688="Buy",(J688-I688)/I688,(I688-J688)/I688))</f>
        <v/>
      </c>
      <c r="N688" s="25" t="str">
        <f aca="false">IF(OR(I688="",J688="",I688=G688),"",IF(E688="Buy",(J688-I688)/(I688-G688),(I688-J688)/(G688-I688)))</f>
        <v/>
      </c>
      <c r="O688" s="2" t="str">
        <f aca="false">IF(OR(B688="",K688=""),"",IFERROR(K688-B688,""))</f>
        <v/>
      </c>
      <c r="P688" s="2" t="str">
        <f aca="false">IF(M688="","",IF(M688&gt;0,1,0))</f>
        <v/>
      </c>
    </row>
    <row r="689" customFormat="false" ht="15" hidden="false" customHeight="false" outlineLevel="0" collapsed="false">
      <c r="M689" s="24" t="str">
        <f aca="false">IF(OR(I689="",J689=""),"",IF(E689="Buy",(J689-I689)/I689,(I689-J689)/I689))</f>
        <v/>
      </c>
      <c r="N689" s="25" t="str">
        <f aca="false">IF(OR(I689="",J689="",I689=G689),"",IF(E689="Buy",(J689-I689)/(I689-G689),(I689-J689)/(G689-I689)))</f>
        <v/>
      </c>
      <c r="O689" s="2" t="str">
        <f aca="false">IF(OR(B689="",K689=""),"",IFERROR(K689-B689,""))</f>
        <v/>
      </c>
      <c r="P689" s="2" t="str">
        <f aca="false">IF(M689="","",IF(M689&gt;0,1,0))</f>
        <v/>
      </c>
    </row>
    <row r="690" customFormat="false" ht="15" hidden="false" customHeight="false" outlineLevel="0" collapsed="false">
      <c r="M690" s="24" t="str">
        <f aca="false">IF(OR(I690="",J690=""),"",IF(E690="Buy",(J690-I690)/I690,(I690-J690)/I690))</f>
        <v/>
      </c>
      <c r="N690" s="25" t="str">
        <f aca="false">IF(OR(I690="",J690="",I690=G690),"",IF(E690="Buy",(J690-I690)/(I690-G690),(I690-J690)/(G690-I690)))</f>
        <v/>
      </c>
      <c r="O690" s="2" t="str">
        <f aca="false">IF(OR(B690="",K690=""),"",IFERROR(K690-B690,""))</f>
        <v/>
      </c>
      <c r="P690" s="2" t="str">
        <f aca="false">IF(M690="","",IF(M690&gt;0,1,0))</f>
        <v/>
      </c>
    </row>
    <row r="691" customFormat="false" ht="15" hidden="false" customHeight="false" outlineLevel="0" collapsed="false">
      <c r="M691" s="24" t="str">
        <f aca="false">IF(OR(I691="",J691=""),"",IF(E691="Buy",(J691-I691)/I691,(I691-J691)/I691))</f>
        <v/>
      </c>
      <c r="N691" s="25" t="str">
        <f aca="false">IF(OR(I691="",J691="",I691=G691),"",IF(E691="Buy",(J691-I691)/(I691-G691),(I691-J691)/(G691-I691)))</f>
        <v/>
      </c>
      <c r="O691" s="2" t="str">
        <f aca="false">IF(OR(B691="",K691=""),"",IFERROR(K691-B691,""))</f>
        <v/>
      </c>
      <c r="P691" s="2" t="str">
        <f aca="false">IF(M691="","",IF(M691&gt;0,1,0))</f>
        <v/>
      </c>
    </row>
    <row r="692" customFormat="false" ht="15" hidden="false" customHeight="false" outlineLevel="0" collapsed="false">
      <c r="M692" s="24" t="str">
        <f aca="false">IF(OR(I692="",J692=""),"",IF(E692="Buy",(J692-I692)/I692,(I692-J692)/I692))</f>
        <v/>
      </c>
      <c r="N692" s="25" t="str">
        <f aca="false">IF(OR(I692="",J692="",I692=G692),"",IF(E692="Buy",(J692-I692)/(I692-G692),(I692-J692)/(G692-I692)))</f>
        <v/>
      </c>
      <c r="O692" s="2" t="str">
        <f aca="false">IF(OR(B692="",K692=""),"",IFERROR(K692-B692,""))</f>
        <v/>
      </c>
      <c r="P692" s="2" t="str">
        <f aca="false">IF(M692="","",IF(M692&gt;0,1,0))</f>
        <v/>
      </c>
    </row>
    <row r="693" customFormat="false" ht="15" hidden="false" customHeight="false" outlineLevel="0" collapsed="false">
      <c r="M693" s="24" t="str">
        <f aca="false">IF(OR(I693="",J693=""),"",IF(E693="Buy",(J693-I693)/I693,(I693-J693)/I693))</f>
        <v/>
      </c>
      <c r="N693" s="25" t="str">
        <f aca="false">IF(OR(I693="",J693="",I693=G693),"",IF(E693="Buy",(J693-I693)/(I693-G693),(I693-J693)/(G693-I693)))</f>
        <v/>
      </c>
      <c r="O693" s="2" t="str">
        <f aca="false">IF(OR(B693="",K693=""),"",IFERROR(K693-B693,""))</f>
        <v/>
      </c>
      <c r="P693" s="2" t="str">
        <f aca="false">IF(M693="","",IF(M693&gt;0,1,0))</f>
        <v/>
      </c>
    </row>
    <row r="694" customFormat="false" ht="15" hidden="false" customHeight="false" outlineLevel="0" collapsed="false">
      <c r="M694" s="24" t="str">
        <f aca="false">IF(OR(I694="",J694=""),"",IF(E694="Buy",(J694-I694)/I694,(I694-J694)/I694))</f>
        <v/>
      </c>
      <c r="N694" s="25" t="str">
        <f aca="false">IF(OR(I694="",J694="",I694=G694),"",IF(E694="Buy",(J694-I694)/(I694-G694),(I694-J694)/(G694-I694)))</f>
        <v/>
      </c>
      <c r="O694" s="2" t="str">
        <f aca="false">IF(OR(B694="",K694=""),"",IFERROR(K694-B694,""))</f>
        <v/>
      </c>
      <c r="P694" s="2" t="str">
        <f aca="false">IF(M694="","",IF(M694&gt;0,1,0))</f>
        <v/>
      </c>
    </row>
    <row r="695" customFormat="false" ht="15" hidden="false" customHeight="false" outlineLevel="0" collapsed="false">
      <c r="M695" s="24" t="str">
        <f aca="false">IF(OR(I695="",J695=""),"",IF(E695="Buy",(J695-I695)/I695,(I695-J695)/I695))</f>
        <v/>
      </c>
      <c r="N695" s="25" t="str">
        <f aca="false">IF(OR(I695="",J695="",I695=G695),"",IF(E695="Buy",(J695-I695)/(I695-G695),(I695-J695)/(G695-I695)))</f>
        <v/>
      </c>
      <c r="O695" s="2" t="str">
        <f aca="false">IF(OR(B695="",K695=""),"",IFERROR(K695-B695,""))</f>
        <v/>
      </c>
      <c r="P695" s="2" t="str">
        <f aca="false">IF(M695="","",IF(M695&gt;0,1,0))</f>
        <v/>
      </c>
    </row>
    <row r="696" customFormat="false" ht="15" hidden="false" customHeight="false" outlineLevel="0" collapsed="false">
      <c r="M696" s="24" t="str">
        <f aca="false">IF(OR(I696="",J696=""),"",IF(E696="Buy",(J696-I696)/I696,(I696-J696)/I696))</f>
        <v/>
      </c>
      <c r="N696" s="25" t="str">
        <f aca="false">IF(OR(I696="",J696="",I696=G696),"",IF(E696="Buy",(J696-I696)/(I696-G696),(I696-J696)/(G696-I696)))</f>
        <v/>
      </c>
      <c r="O696" s="2" t="str">
        <f aca="false">IF(OR(B696="",K696=""),"",IFERROR(K696-B696,""))</f>
        <v/>
      </c>
      <c r="P696" s="2" t="str">
        <f aca="false">IF(M696="","",IF(M696&gt;0,1,0))</f>
        <v/>
      </c>
    </row>
    <row r="697" customFormat="false" ht="15" hidden="false" customHeight="false" outlineLevel="0" collapsed="false">
      <c r="M697" s="24" t="str">
        <f aca="false">IF(OR(I697="",J697=""),"",IF(E697="Buy",(J697-I697)/I697,(I697-J697)/I697))</f>
        <v/>
      </c>
      <c r="N697" s="25" t="str">
        <f aca="false">IF(OR(I697="",J697="",I697=G697),"",IF(E697="Buy",(J697-I697)/(I697-G697),(I697-J697)/(G697-I697)))</f>
        <v/>
      </c>
      <c r="O697" s="2" t="str">
        <f aca="false">IF(OR(B697="",K697=""),"",IFERROR(K697-B697,""))</f>
        <v/>
      </c>
      <c r="P697" s="2" t="str">
        <f aca="false">IF(M697="","",IF(M697&gt;0,1,0))</f>
        <v/>
      </c>
    </row>
    <row r="698" customFormat="false" ht="15" hidden="false" customHeight="false" outlineLevel="0" collapsed="false">
      <c r="M698" s="24" t="str">
        <f aca="false">IF(OR(I698="",J698=""),"",IF(E698="Buy",(J698-I698)/I698,(I698-J698)/I698))</f>
        <v/>
      </c>
      <c r="N698" s="25" t="str">
        <f aca="false">IF(OR(I698="",J698="",I698=G698),"",IF(E698="Buy",(J698-I698)/(I698-G698),(I698-J698)/(G698-I698)))</f>
        <v/>
      </c>
      <c r="O698" s="2" t="str">
        <f aca="false">IF(OR(B698="",K698=""),"",IFERROR(K698-B698,""))</f>
        <v/>
      </c>
      <c r="P698" s="2" t="str">
        <f aca="false">IF(M698="","",IF(M698&gt;0,1,0))</f>
        <v/>
      </c>
    </row>
    <row r="699" customFormat="false" ht="15" hidden="false" customHeight="false" outlineLevel="0" collapsed="false">
      <c r="M699" s="24" t="str">
        <f aca="false">IF(OR(I699="",J699=""),"",IF(E699="Buy",(J699-I699)/I699,(I699-J699)/I699))</f>
        <v/>
      </c>
      <c r="N699" s="25" t="str">
        <f aca="false">IF(OR(I699="",J699="",I699=G699),"",IF(E699="Buy",(J699-I699)/(I699-G699),(I699-J699)/(G699-I699)))</f>
        <v/>
      </c>
      <c r="O699" s="2" t="str">
        <f aca="false">IF(OR(B699="",K699=""),"",IFERROR(K699-B699,""))</f>
        <v/>
      </c>
      <c r="P699" s="2" t="str">
        <f aca="false">IF(M699="","",IF(M699&gt;0,1,0))</f>
        <v/>
      </c>
    </row>
    <row r="700" customFormat="false" ht="15" hidden="false" customHeight="false" outlineLevel="0" collapsed="false">
      <c r="M700" s="24" t="str">
        <f aca="false">IF(OR(I700="",J700=""),"",IF(E700="Buy",(J700-I700)/I700,(I700-J700)/I700))</f>
        <v/>
      </c>
      <c r="N700" s="25" t="str">
        <f aca="false">IF(OR(I700="",J700="",I700=G700),"",IF(E700="Buy",(J700-I700)/(I700-G700),(I700-J700)/(G700-I700)))</f>
        <v/>
      </c>
      <c r="O700" s="2" t="str">
        <f aca="false">IF(OR(B700="",K700=""),"",IFERROR(K700-B700,""))</f>
        <v/>
      </c>
      <c r="P700" s="2" t="str">
        <f aca="false">IF(M700="","",IF(M700&gt;0,1,0))</f>
        <v/>
      </c>
    </row>
    <row r="701" customFormat="false" ht="15" hidden="false" customHeight="false" outlineLevel="0" collapsed="false">
      <c r="M701" s="24" t="str">
        <f aca="false">IF(OR(I701="",J701=""),"",IF(E701="Buy",(J701-I701)/I701,(I701-J701)/I701))</f>
        <v/>
      </c>
      <c r="N701" s="25" t="str">
        <f aca="false">IF(OR(I701="",J701="",I701=G701),"",IF(E701="Buy",(J701-I701)/(I701-G701),(I701-J701)/(G701-I701)))</f>
        <v/>
      </c>
      <c r="O701" s="2" t="str">
        <f aca="false">IF(OR(B701="",K701=""),"",IFERROR(K701-B701,""))</f>
        <v/>
      </c>
      <c r="P701" s="2" t="str">
        <f aca="false">IF(M701="","",IF(M701&gt;0,1,0))</f>
        <v/>
      </c>
    </row>
    <row r="702" customFormat="false" ht="15" hidden="false" customHeight="false" outlineLevel="0" collapsed="false">
      <c r="M702" s="24" t="str">
        <f aca="false">IF(OR(I702="",J702=""),"",IF(E702="Buy",(J702-I702)/I702,(I702-J702)/I702))</f>
        <v/>
      </c>
      <c r="N702" s="25" t="str">
        <f aca="false">IF(OR(I702="",J702="",I702=G702),"",IF(E702="Buy",(J702-I702)/(I702-G702),(I702-J702)/(G702-I702)))</f>
        <v/>
      </c>
      <c r="O702" s="2" t="str">
        <f aca="false">IF(OR(B702="",K702=""),"",IFERROR(K702-B702,""))</f>
        <v/>
      </c>
      <c r="P702" s="2" t="str">
        <f aca="false">IF(M702="","",IF(M702&gt;0,1,0))</f>
        <v/>
      </c>
    </row>
    <row r="703" customFormat="false" ht="15" hidden="false" customHeight="false" outlineLevel="0" collapsed="false">
      <c r="M703" s="24" t="str">
        <f aca="false">IF(OR(I703="",J703=""),"",IF(E703="Buy",(J703-I703)/I703,(I703-J703)/I703))</f>
        <v/>
      </c>
      <c r="N703" s="25" t="str">
        <f aca="false">IF(OR(I703="",J703="",I703=G703),"",IF(E703="Buy",(J703-I703)/(I703-G703),(I703-J703)/(G703-I703)))</f>
        <v/>
      </c>
      <c r="O703" s="2" t="str">
        <f aca="false">IF(OR(B703="",K703=""),"",IFERROR(K703-B703,""))</f>
        <v/>
      </c>
      <c r="P703" s="2" t="str">
        <f aca="false">IF(M703="","",IF(M703&gt;0,1,0))</f>
        <v/>
      </c>
    </row>
    <row r="704" customFormat="false" ht="15" hidden="false" customHeight="false" outlineLevel="0" collapsed="false">
      <c r="M704" s="24" t="str">
        <f aca="false">IF(OR(I704="",J704=""),"",IF(E704="Buy",(J704-I704)/I704,(I704-J704)/I704))</f>
        <v/>
      </c>
      <c r="N704" s="25" t="str">
        <f aca="false">IF(OR(I704="",J704="",I704=G704),"",IF(E704="Buy",(J704-I704)/(I704-G704),(I704-J704)/(G704-I704)))</f>
        <v/>
      </c>
      <c r="O704" s="2" t="str">
        <f aca="false">IF(OR(B704="",K704=""),"",IFERROR(K704-B704,""))</f>
        <v/>
      </c>
      <c r="P704" s="2" t="str">
        <f aca="false">IF(M704="","",IF(M704&gt;0,1,0))</f>
        <v/>
      </c>
    </row>
    <row r="705" customFormat="false" ht="15" hidden="false" customHeight="false" outlineLevel="0" collapsed="false">
      <c r="M705" s="24" t="str">
        <f aca="false">IF(OR(I705="",J705=""),"",IF(E705="Buy",(J705-I705)/I705,(I705-J705)/I705))</f>
        <v/>
      </c>
      <c r="N705" s="25" t="str">
        <f aca="false">IF(OR(I705="",J705="",I705=G705),"",IF(E705="Buy",(J705-I705)/(I705-G705),(I705-J705)/(G705-I705)))</f>
        <v/>
      </c>
      <c r="O705" s="2" t="str">
        <f aca="false">IF(OR(B705="",K705=""),"",IFERROR(K705-B705,""))</f>
        <v/>
      </c>
      <c r="P705" s="2" t="str">
        <f aca="false">IF(M705="","",IF(M705&gt;0,1,0))</f>
        <v/>
      </c>
    </row>
    <row r="706" customFormat="false" ht="15" hidden="false" customHeight="false" outlineLevel="0" collapsed="false">
      <c r="M706" s="24" t="str">
        <f aca="false">IF(OR(I706="",J706=""),"",IF(E706="Buy",(J706-I706)/I706,(I706-J706)/I706))</f>
        <v/>
      </c>
      <c r="N706" s="25" t="str">
        <f aca="false">IF(OR(I706="",J706="",I706=G706),"",IF(E706="Buy",(J706-I706)/(I706-G706),(I706-J706)/(G706-I706)))</f>
        <v/>
      </c>
      <c r="O706" s="2" t="str">
        <f aca="false">IF(OR(B706="",K706=""),"",IFERROR(K706-B706,""))</f>
        <v/>
      </c>
      <c r="P706" s="2" t="str">
        <f aca="false">IF(M706="","",IF(M706&gt;0,1,0))</f>
        <v/>
      </c>
    </row>
    <row r="707" customFormat="false" ht="15" hidden="false" customHeight="false" outlineLevel="0" collapsed="false">
      <c r="M707" s="24" t="str">
        <f aca="false">IF(OR(I707="",J707=""),"",IF(E707="Buy",(J707-I707)/I707,(I707-J707)/I707))</f>
        <v/>
      </c>
      <c r="N707" s="25" t="str">
        <f aca="false">IF(OR(I707="",J707="",I707=G707),"",IF(E707="Buy",(J707-I707)/(I707-G707),(I707-J707)/(G707-I707)))</f>
        <v/>
      </c>
      <c r="O707" s="2" t="str">
        <f aca="false">IF(OR(B707="",K707=""),"",IFERROR(K707-B707,""))</f>
        <v/>
      </c>
      <c r="P707" s="2" t="str">
        <f aca="false">IF(M707="","",IF(M707&gt;0,1,0))</f>
        <v/>
      </c>
    </row>
    <row r="708" customFormat="false" ht="15" hidden="false" customHeight="false" outlineLevel="0" collapsed="false">
      <c r="M708" s="24" t="str">
        <f aca="false">IF(OR(I708="",J708=""),"",IF(E708="Buy",(J708-I708)/I708,(I708-J708)/I708))</f>
        <v/>
      </c>
      <c r="N708" s="25" t="str">
        <f aca="false">IF(OR(I708="",J708="",I708=G708),"",IF(E708="Buy",(J708-I708)/(I708-G708),(I708-J708)/(G708-I708)))</f>
        <v/>
      </c>
      <c r="O708" s="2" t="str">
        <f aca="false">IF(OR(B708="",K708=""),"",IFERROR(K708-B708,""))</f>
        <v/>
      </c>
      <c r="P708" s="2" t="str">
        <f aca="false">IF(M708="","",IF(M708&gt;0,1,0))</f>
        <v/>
      </c>
    </row>
    <row r="709" customFormat="false" ht="15" hidden="false" customHeight="false" outlineLevel="0" collapsed="false">
      <c r="M709" s="24" t="str">
        <f aca="false">IF(OR(I709="",J709=""),"",IF(E709="Buy",(J709-I709)/I709,(I709-J709)/I709))</f>
        <v/>
      </c>
      <c r="N709" s="25" t="str">
        <f aca="false">IF(OR(I709="",J709="",I709=G709),"",IF(E709="Buy",(J709-I709)/(I709-G709),(I709-J709)/(G709-I709)))</f>
        <v/>
      </c>
      <c r="O709" s="2" t="str">
        <f aca="false">IF(OR(B709="",K709=""),"",IFERROR(K709-B709,""))</f>
        <v/>
      </c>
      <c r="P709" s="2" t="str">
        <f aca="false">IF(M709="","",IF(M709&gt;0,1,0))</f>
        <v/>
      </c>
    </row>
    <row r="710" customFormat="false" ht="15" hidden="false" customHeight="false" outlineLevel="0" collapsed="false">
      <c r="M710" s="24" t="str">
        <f aca="false">IF(OR(I710="",J710=""),"",IF(E710="Buy",(J710-I710)/I710,(I710-J710)/I710))</f>
        <v/>
      </c>
      <c r="N710" s="25" t="str">
        <f aca="false">IF(OR(I710="",J710="",I710=G710),"",IF(E710="Buy",(J710-I710)/(I710-G710),(I710-J710)/(G710-I710)))</f>
        <v/>
      </c>
      <c r="O710" s="2" t="str">
        <f aca="false">IF(OR(B710="",K710=""),"",IFERROR(K710-B710,""))</f>
        <v/>
      </c>
      <c r="P710" s="2" t="str">
        <f aca="false">IF(M710="","",IF(M710&gt;0,1,0))</f>
        <v/>
      </c>
    </row>
    <row r="711" customFormat="false" ht="15" hidden="false" customHeight="false" outlineLevel="0" collapsed="false">
      <c r="M711" s="24" t="str">
        <f aca="false">IF(OR(I711="",J711=""),"",IF(E711="Buy",(J711-I711)/I711,(I711-J711)/I711))</f>
        <v/>
      </c>
      <c r="N711" s="25" t="str">
        <f aca="false">IF(OR(I711="",J711="",I711=G711),"",IF(E711="Buy",(J711-I711)/(I711-G711),(I711-J711)/(G711-I711)))</f>
        <v/>
      </c>
      <c r="O711" s="2" t="str">
        <f aca="false">IF(OR(B711="",K711=""),"",IFERROR(K711-B711,""))</f>
        <v/>
      </c>
      <c r="P711" s="2" t="str">
        <f aca="false">IF(M711="","",IF(M711&gt;0,1,0))</f>
        <v/>
      </c>
    </row>
    <row r="712" customFormat="false" ht="15" hidden="false" customHeight="false" outlineLevel="0" collapsed="false">
      <c r="M712" s="24" t="str">
        <f aca="false">IF(OR(I712="",J712=""),"",IF(E712="Buy",(J712-I712)/I712,(I712-J712)/I712))</f>
        <v/>
      </c>
      <c r="N712" s="25" t="str">
        <f aca="false">IF(OR(I712="",J712="",I712=G712),"",IF(E712="Buy",(J712-I712)/(I712-G712),(I712-J712)/(G712-I712)))</f>
        <v/>
      </c>
      <c r="O712" s="2" t="str">
        <f aca="false">IF(OR(B712="",K712=""),"",IFERROR(K712-B712,""))</f>
        <v/>
      </c>
      <c r="P712" s="2" t="str">
        <f aca="false">IF(M712="","",IF(M712&gt;0,1,0))</f>
        <v/>
      </c>
    </row>
    <row r="713" customFormat="false" ht="15" hidden="false" customHeight="false" outlineLevel="0" collapsed="false">
      <c r="M713" s="24" t="str">
        <f aca="false">IF(OR(I713="",J713=""),"",IF(E713="Buy",(J713-I713)/I713,(I713-J713)/I713))</f>
        <v/>
      </c>
      <c r="N713" s="25" t="str">
        <f aca="false">IF(OR(I713="",J713="",I713=G713),"",IF(E713="Buy",(J713-I713)/(I713-G713),(I713-J713)/(G713-I713)))</f>
        <v/>
      </c>
      <c r="O713" s="2" t="str">
        <f aca="false">IF(OR(B713="",K713=""),"",IFERROR(K713-B713,""))</f>
        <v/>
      </c>
      <c r="P713" s="2" t="str">
        <f aca="false">IF(M713="","",IF(M713&gt;0,1,0))</f>
        <v/>
      </c>
    </row>
    <row r="714" customFormat="false" ht="15" hidden="false" customHeight="false" outlineLevel="0" collapsed="false">
      <c r="M714" s="24" t="str">
        <f aca="false">IF(OR(I714="",J714=""),"",IF(E714="Buy",(J714-I714)/I714,(I714-J714)/I714))</f>
        <v/>
      </c>
      <c r="N714" s="25" t="str">
        <f aca="false">IF(OR(I714="",J714="",I714=G714),"",IF(E714="Buy",(J714-I714)/(I714-G714),(I714-J714)/(G714-I714)))</f>
        <v/>
      </c>
      <c r="O714" s="2" t="str">
        <f aca="false">IF(OR(B714="",K714=""),"",IFERROR(K714-B714,""))</f>
        <v/>
      </c>
      <c r="P714" s="2" t="str">
        <f aca="false">IF(M714="","",IF(M714&gt;0,1,0))</f>
        <v/>
      </c>
    </row>
    <row r="715" customFormat="false" ht="15" hidden="false" customHeight="false" outlineLevel="0" collapsed="false">
      <c r="M715" s="24" t="str">
        <f aca="false">IF(OR(I715="",J715=""),"",IF(E715="Buy",(J715-I715)/I715,(I715-J715)/I715))</f>
        <v/>
      </c>
      <c r="N715" s="25" t="str">
        <f aca="false">IF(OR(I715="",J715="",I715=G715),"",IF(E715="Buy",(J715-I715)/(I715-G715),(I715-J715)/(G715-I715)))</f>
        <v/>
      </c>
      <c r="O715" s="2" t="str">
        <f aca="false">IF(OR(B715="",K715=""),"",IFERROR(K715-B715,""))</f>
        <v/>
      </c>
      <c r="P715" s="2" t="str">
        <f aca="false">IF(M715="","",IF(M715&gt;0,1,0))</f>
        <v/>
      </c>
    </row>
    <row r="716" customFormat="false" ht="15" hidden="false" customHeight="false" outlineLevel="0" collapsed="false">
      <c r="M716" s="24" t="str">
        <f aca="false">IF(OR(I716="",J716=""),"",IF(E716="Buy",(J716-I716)/I716,(I716-J716)/I716))</f>
        <v/>
      </c>
      <c r="N716" s="25" t="str">
        <f aca="false">IF(OR(I716="",J716="",I716=G716),"",IF(E716="Buy",(J716-I716)/(I716-G716),(I716-J716)/(G716-I716)))</f>
        <v/>
      </c>
      <c r="O716" s="2" t="str">
        <f aca="false">IF(OR(B716="",K716=""),"",IFERROR(K716-B716,""))</f>
        <v/>
      </c>
      <c r="P716" s="2" t="str">
        <f aca="false">IF(M716="","",IF(M716&gt;0,1,0))</f>
        <v/>
      </c>
    </row>
    <row r="717" customFormat="false" ht="15" hidden="false" customHeight="false" outlineLevel="0" collapsed="false">
      <c r="M717" s="24" t="str">
        <f aca="false">IF(OR(I717="",J717=""),"",IF(E717="Buy",(J717-I717)/I717,(I717-J717)/I717))</f>
        <v/>
      </c>
      <c r="N717" s="25" t="str">
        <f aca="false">IF(OR(I717="",J717="",I717=G717),"",IF(E717="Buy",(J717-I717)/(I717-G717),(I717-J717)/(G717-I717)))</f>
        <v/>
      </c>
      <c r="O717" s="2" t="str">
        <f aca="false">IF(OR(B717="",K717=""),"",IFERROR(K717-B717,""))</f>
        <v/>
      </c>
      <c r="P717" s="2" t="str">
        <f aca="false">IF(M717="","",IF(M717&gt;0,1,0))</f>
        <v/>
      </c>
    </row>
    <row r="718" customFormat="false" ht="15" hidden="false" customHeight="false" outlineLevel="0" collapsed="false">
      <c r="M718" s="24" t="str">
        <f aca="false">IF(OR(I718="",J718=""),"",IF(E718="Buy",(J718-I718)/I718,(I718-J718)/I718))</f>
        <v/>
      </c>
      <c r="N718" s="25" t="str">
        <f aca="false">IF(OR(I718="",J718="",I718=G718),"",IF(E718="Buy",(J718-I718)/(I718-G718),(I718-J718)/(G718-I718)))</f>
        <v/>
      </c>
      <c r="O718" s="2" t="str">
        <f aca="false">IF(OR(B718="",K718=""),"",IFERROR(K718-B718,""))</f>
        <v/>
      </c>
      <c r="P718" s="2" t="str">
        <f aca="false">IF(M718="","",IF(M718&gt;0,1,0))</f>
        <v/>
      </c>
    </row>
    <row r="719" customFormat="false" ht="15" hidden="false" customHeight="false" outlineLevel="0" collapsed="false">
      <c r="M719" s="24" t="str">
        <f aca="false">IF(OR(I719="",J719=""),"",IF(E719="Buy",(J719-I719)/I719,(I719-J719)/I719))</f>
        <v/>
      </c>
      <c r="N719" s="25" t="str">
        <f aca="false">IF(OR(I719="",J719="",I719=G719),"",IF(E719="Buy",(J719-I719)/(I719-G719),(I719-J719)/(G719-I719)))</f>
        <v/>
      </c>
      <c r="O719" s="2" t="str">
        <f aca="false">IF(OR(B719="",K719=""),"",IFERROR(K719-B719,""))</f>
        <v/>
      </c>
      <c r="P719" s="2" t="str">
        <f aca="false">IF(M719="","",IF(M719&gt;0,1,0))</f>
        <v/>
      </c>
    </row>
    <row r="720" customFormat="false" ht="15" hidden="false" customHeight="false" outlineLevel="0" collapsed="false">
      <c r="M720" s="24" t="str">
        <f aca="false">IF(OR(I720="",J720=""),"",IF(E720="Buy",(J720-I720)/I720,(I720-J720)/I720))</f>
        <v/>
      </c>
      <c r="N720" s="25" t="str">
        <f aca="false">IF(OR(I720="",J720="",I720=G720),"",IF(E720="Buy",(J720-I720)/(I720-G720),(I720-J720)/(G720-I720)))</f>
        <v/>
      </c>
      <c r="O720" s="2" t="str">
        <f aca="false">IF(OR(B720="",K720=""),"",IFERROR(K720-B720,""))</f>
        <v/>
      </c>
      <c r="P720" s="2" t="str">
        <f aca="false">IF(M720="","",IF(M720&gt;0,1,0))</f>
        <v/>
      </c>
    </row>
    <row r="721" customFormat="false" ht="15" hidden="false" customHeight="false" outlineLevel="0" collapsed="false">
      <c r="M721" s="24" t="str">
        <f aca="false">IF(OR(I721="",J721=""),"",IF(E721="Buy",(J721-I721)/I721,(I721-J721)/I721))</f>
        <v/>
      </c>
      <c r="N721" s="25" t="str">
        <f aca="false">IF(OR(I721="",J721="",I721=G721),"",IF(E721="Buy",(J721-I721)/(I721-G721),(I721-J721)/(G721-I721)))</f>
        <v/>
      </c>
      <c r="O721" s="2" t="str">
        <f aca="false">IF(OR(B721="",K721=""),"",IFERROR(K721-B721,""))</f>
        <v/>
      </c>
      <c r="P721" s="2" t="str">
        <f aca="false">IF(M721="","",IF(M721&gt;0,1,0))</f>
        <v/>
      </c>
    </row>
    <row r="722" customFormat="false" ht="15" hidden="false" customHeight="false" outlineLevel="0" collapsed="false">
      <c r="M722" s="24" t="str">
        <f aca="false">IF(OR(I722="",J722=""),"",IF(E722="Buy",(J722-I722)/I722,(I722-J722)/I722))</f>
        <v/>
      </c>
      <c r="N722" s="25" t="str">
        <f aca="false">IF(OR(I722="",J722="",I722=G722),"",IF(E722="Buy",(J722-I722)/(I722-G722),(I722-J722)/(G722-I722)))</f>
        <v/>
      </c>
      <c r="O722" s="2" t="str">
        <f aca="false">IF(OR(B722="",K722=""),"",IFERROR(K722-B722,""))</f>
        <v/>
      </c>
      <c r="P722" s="2" t="str">
        <f aca="false">IF(M722="","",IF(M722&gt;0,1,0))</f>
        <v/>
      </c>
    </row>
    <row r="723" customFormat="false" ht="15" hidden="false" customHeight="false" outlineLevel="0" collapsed="false">
      <c r="M723" s="24" t="str">
        <f aca="false">IF(OR(I723="",J723=""),"",IF(E723="Buy",(J723-I723)/I723,(I723-J723)/I723))</f>
        <v/>
      </c>
      <c r="N723" s="25" t="str">
        <f aca="false">IF(OR(I723="",J723="",I723=G723),"",IF(E723="Buy",(J723-I723)/(I723-G723),(I723-J723)/(G723-I723)))</f>
        <v/>
      </c>
      <c r="O723" s="2" t="str">
        <f aca="false">IF(OR(B723="",K723=""),"",IFERROR(K723-B723,""))</f>
        <v/>
      </c>
      <c r="P723" s="2" t="str">
        <f aca="false">IF(M723="","",IF(M723&gt;0,1,0))</f>
        <v/>
      </c>
    </row>
    <row r="724" customFormat="false" ht="15" hidden="false" customHeight="false" outlineLevel="0" collapsed="false">
      <c r="M724" s="24" t="str">
        <f aca="false">IF(OR(I724="",J724=""),"",IF(E724="Buy",(J724-I724)/I724,(I724-J724)/I724))</f>
        <v/>
      </c>
      <c r="N724" s="25" t="str">
        <f aca="false">IF(OR(I724="",J724="",I724=G724),"",IF(E724="Buy",(J724-I724)/(I724-G724),(I724-J724)/(G724-I724)))</f>
        <v/>
      </c>
      <c r="O724" s="2" t="str">
        <f aca="false">IF(OR(B724="",K724=""),"",IFERROR(K724-B724,""))</f>
        <v/>
      </c>
      <c r="P724" s="2" t="str">
        <f aca="false">IF(M724="","",IF(M724&gt;0,1,0))</f>
        <v/>
      </c>
    </row>
    <row r="725" customFormat="false" ht="15" hidden="false" customHeight="false" outlineLevel="0" collapsed="false">
      <c r="M725" s="24" t="str">
        <f aca="false">IF(OR(I725="",J725=""),"",IF(E725="Buy",(J725-I725)/I725,(I725-J725)/I725))</f>
        <v/>
      </c>
      <c r="N725" s="25" t="str">
        <f aca="false">IF(OR(I725="",J725="",I725=G725),"",IF(E725="Buy",(J725-I725)/(I725-G725),(I725-J725)/(G725-I725)))</f>
        <v/>
      </c>
      <c r="O725" s="2" t="str">
        <f aca="false">IF(OR(B725="",K725=""),"",IFERROR(K725-B725,""))</f>
        <v/>
      </c>
      <c r="P725" s="2" t="str">
        <f aca="false">IF(M725="","",IF(M725&gt;0,1,0))</f>
        <v/>
      </c>
    </row>
    <row r="726" customFormat="false" ht="15" hidden="false" customHeight="false" outlineLevel="0" collapsed="false">
      <c r="M726" s="24" t="str">
        <f aca="false">IF(OR(I726="",J726=""),"",IF(E726="Buy",(J726-I726)/I726,(I726-J726)/I726))</f>
        <v/>
      </c>
      <c r="N726" s="25" t="str">
        <f aca="false">IF(OR(I726="",J726="",I726=G726),"",IF(E726="Buy",(J726-I726)/(I726-G726),(I726-J726)/(G726-I726)))</f>
        <v/>
      </c>
      <c r="O726" s="2" t="str">
        <f aca="false">IF(OR(B726="",K726=""),"",IFERROR(K726-B726,""))</f>
        <v/>
      </c>
      <c r="P726" s="2" t="str">
        <f aca="false">IF(M726="","",IF(M726&gt;0,1,0))</f>
        <v/>
      </c>
    </row>
    <row r="727" customFormat="false" ht="15" hidden="false" customHeight="false" outlineLevel="0" collapsed="false">
      <c r="M727" s="24" t="str">
        <f aca="false">IF(OR(I727="",J727=""),"",IF(E727="Buy",(J727-I727)/I727,(I727-J727)/I727))</f>
        <v/>
      </c>
      <c r="N727" s="25" t="str">
        <f aca="false">IF(OR(I727="",J727="",I727=G727),"",IF(E727="Buy",(J727-I727)/(I727-G727),(I727-J727)/(G727-I727)))</f>
        <v/>
      </c>
      <c r="O727" s="2" t="str">
        <f aca="false">IF(OR(B727="",K727=""),"",IFERROR(K727-B727,""))</f>
        <v/>
      </c>
      <c r="P727" s="2" t="str">
        <f aca="false">IF(M727="","",IF(M727&gt;0,1,0))</f>
        <v/>
      </c>
    </row>
    <row r="728" customFormat="false" ht="15" hidden="false" customHeight="false" outlineLevel="0" collapsed="false">
      <c r="M728" s="24" t="str">
        <f aca="false">IF(OR(I728="",J728=""),"",IF(E728="Buy",(J728-I728)/I728,(I728-J728)/I728))</f>
        <v/>
      </c>
      <c r="N728" s="25" t="str">
        <f aca="false">IF(OR(I728="",J728="",I728=G728),"",IF(E728="Buy",(J728-I728)/(I728-G728),(I728-J728)/(G728-I728)))</f>
        <v/>
      </c>
      <c r="O728" s="2" t="str">
        <f aca="false">IF(OR(B728="",K728=""),"",IFERROR(K728-B728,""))</f>
        <v/>
      </c>
      <c r="P728" s="2" t="str">
        <f aca="false">IF(M728="","",IF(M728&gt;0,1,0))</f>
        <v/>
      </c>
    </row>
    <row r="729" customFormat="false" ht="15" hidden="false" customHeight="false" outlineLevel="0" collapsed="false">
      <c r="M729" s="24" t="str">
        <f aca="false">IF(OR(I729="",J729=""),"",IF(E729="Buy",(J729-I729)/I729,(I729-J729)/I729))</f>
        <v/>
      </c>
      <c r="N729" s="25" t="str">
        <f aca="false">IF(OR(I729="",J729="",I729=G729),"",IF(E729="Buy",(J729-I729)/(I729-G729),(I729-J729)/(G729-I729)))</f>
        <v/>
      </c>
      <c r="O729" s="2" t="str">
        <f aca="false">IF(OR(B729="",K729=""),"",IFERROR(K729-B729,""))</f>
        <v/>
      </c>
      <c r="P729" s="2" t="str">
        <f aca="false">IF(M729="","",IF(M729&gt;0,1,0))</f>
        <v/>
      </c>
    </row>
    <row r="730" customFormat="false" ht="15" hidden="false" customHeight="false" outlineLevel="0" collapsed="false">
      <c r="M730" s="24" t="str">
        <f aca="false">IF(OR(I730="",J730=""),"",IF(E730="Buy",(J730-I730)/I730,(I730-J730)/I730))</f>
        <v/>
      </c>
      <c r="N730" s="25" t="str">
        <f aca="false">IF(OR(I730="",J730="",I730=G730),"",IF(E730="Buy",(J730-I730)/(I730-G730),(I730-J730)/(G730-I730)))</f>
        <v/>
      </c>
      <c r="O730" s="2" t="str">
        <f aca="false">IF(OR(B730="",K730=""),"",IFERROR(K730-B730,""))</f>
        <v/>
      </c>
      <c r="P730" s="2" t="str">
        <f aca="false">IF(M730="","",IF(M730&gt;0,1,0))</f>
        <v/>
      </c>
    </row>
    <row r="731" customFormat="false" ht="15" hidden="false" customHeight="false" outlineLevel="0" collapsed="false">
      <c r="M731" s="24" t="str">
        <f aca="false">IF(OR(I731="",J731=""),"",IF(E731="Buy",(J731-I731)/I731,(I731-J731)/I731))</f>
        <v/>
      </c>
      <c r="N731" s="25" t="str">
        <f aca="false">IF(OR(I731="",J731="",I731=G731),"",IF(E731="Buy",(J731-I731)/(I731-G731),(I731-J731)/(G731-I731)))</f>
        <v/>
      </c>
      <c r="O731" s="2" t="str">
        <f aca="false">IF(OR(B731="",K731=""),"",IFERROR(K731-B731,""))</f>
        <v/>
      </c>
      <c r="P731" s="2" t="str">
        <f aca="false">IF(M731="","",IF(M731&gt;0,1,0))</f>
        <v/>
      </c>
    </row>
    <row r="732" customFormat="false" ht="15" hidden="false" customHeight="false" outlineLevel="0" collapsed="false">
      <c r="M732" s="24" t="str">
        <f aca="false">IF(OR(I732="",J732=""),"",IF(E732="Buy",(J732-I732)/I732,(I732-J732)/I732))</f>
        <v/>
      </c>
      <c r="N732" s="25" t="str">
        <f aca="false">IF(OR(I732="",J732="",I732=G732),"",IF(E732="Buy",(J732-I732)/(I732-G732),(I732-J732)/(G732-I732)))</f>
        <v/>
      </c>
      <c r="O732" s="2" t="str">
        <f aca="false">IF(OR(B732="",K732=""),"",IFERROR(K732-B732,""))</f>
        <v/>
      </c>
      <c r="P732" s="2" t="str">
        <f aca="false">IF(M732="","",IF(M732&gt;0,1,0))</f>
        <v/>
      </c>
    </row>
    <row r="733" customFormat="false" ht="15" hidden="false" customHeight="false" outlineLevel="0" collapsed="false">
      <c r="M733" s="24" t="str">
        <f aca="false">IF(OR(I733="",J733=""),"",IF(E733="Buy",(J733-I733)/I733,(I733-J733)/I733))</f>
        <v/>
      </c>
      <c r="N733" s="25" t="str">
        <f aca="false">IF(OR(I733="",J733="",I733=G733),"",IF(E733="Buy",(J733-I733)/(I733-G733),(I733-J733)/(G733-I733)))</f>
        <v/>
      </c>
      <c r="O733" s="2" t="str">
        <f aca="false">IF(OR(B733="",K733=""),"",IFERROR(K733-B733,""))</f>
        <v/>
      </c>
      <c r="P733" s="2" t="str">
        <f aca="false">IF(M733="","",IF(M733&gt;0,1,0))</f>
        <v/>
      </c>
    </row>
    <row r="734" customFormat="false" ht="15" hidden="false" customHeight="false" outlineLevel="0" collapsed="false">
      <c r="M734" s="24" t="str">
        <f aca="false">IF(OR(I734="",J734=""),"",IF(E734="Buy",(J734-I734)/I734,(I734-J734)/I734))</f>
        <v/>
      </c>
      <c r="N734" s="25" t="str">
        <f aca="false">IF(OR(I734="",J734="",I734=G734),"",IF(E734="Buy",(J734-I734)/(I734-G734),(I734-J734)/(G734-I734)))</f>
        <v/>
      </c>
      <c r="O734" s="2" t="str">
        <f aca="false">IF(OR(B734="",K734=""),"",IFERROR(K734-B734,""))</f>
        <v/>
      </c>
      <c r="P734" s="2" t="str">
        <f aca="false">IF(M734="","",IF(M734&gt;0,1,0))</f>
        <v/>
      </c>
    </row>
    <row r="735" customFormat="false" ht="15" hidden="false" customHeight="false" outlineLevel="0" collapsed="false">
      <c r="M735" s="24" t="str">
        <f aca="false">IF(OR(I735="",J735=""),"",IF(E735="Buy",(J735-I735)/I735,(I735-J735)/I735))</f>
        <v/>
      </c>
      <c r="N735" s="25" t="str">
        <f aca="false">IF(OR(I735="",J735="",I735=G735),"",IF(E735="Buy",(J735-I735)/(I735-G735),(I735-J735)/(G735-I735)))</f>
        <v/>
      </c>
      <c r="O735" s="2" t="str">
        <f aca="false">IF(OR(B735="",K735=""),"",IFERROR(K735-B735,""))</f>
        <v/>
      </c>
      <c r="P735" s="2" t="str">
        <f aca="false">IF(M735="","",IF(M735&gt;0,1,0))</f>
        <v/>
      </c>
    </row>
    <row r="736" customFormat="false" ht="15" hidden="false" customHeight="false" outlineLevel="0" collapsed="false">
      <c r="M736" s="24" t="str">
        <f aca="false">IF(OR(I736="",J736=""),"",IF(E736="Buy",(J736-I736)/I736,(I736-J736)/I736))</f>
        <v/>
      </c>
      <c r="N736" s="25" t="str">
        <f aca="false">IF(OR(I736="",J736="",I736=G736),"",IF(E736="Buy",(J736-I736)/(I736-G736),(I736-J736)/(G736-I736)))</f>
        <v/>
      </c>
      <c r="O736" s="2" t="str">
        <f aca="false">IF(OR(B736="",K736=""),"",IFERROR(K736-B736,""))</f>
        <v/>
      </c>
      <c r="P736" s="2" t="str">
        <f aca="false">IF(M736="","",IF(M736&gt;0,1,0))</f>
        <v/>
      </c>
    </row>
    <row r="737" customFormat="false" ht="15" hidden="false" customHeight="false" outlineLevel="0" collapsed="false">
      <c r="M737" s="24" t="str">
        <f aca="false">IF(OR(I737="",J737=""),"",IF(E737="Buy",(J737-I737)/I737,(I737-J737)/I737))</f>
        <v/>
      </c>
      <c r="N737" s="25" t="str">
        <f aca="false">IF(OR(I737="",J737="",I737=G737),"",IF(E737="Buy",(J737-I737)/(I737-G737),(I737-J737)/(G737-I737)))</f>
        <v/>
      </c>
      <c r="O737" s="2" t="str">
        <f aca="false">IF(OR(B737="",K737=""),"",IFERROR(K737-B737,""))</f>
        <v/>
      </c>
      <c r="P737" s="2" t="str">
        <f aca="false">IF(M737="","",IF(M737&gt;0,1,0))</f>
        <v/>
      </c>
    </row>
    <row r="738" customFormat="false" ht="15" hidden="false" customHeight="false" outlineLevel="0" collapsed="false">
      <c r="M738" s="24" t="str">
        <f aca="false">IF(OR(I738="",J738=""),"",IF(E738="Buy",(J738-I738)/I738,(I738-J738)/I738))</f>
        <v/>
      </c>
      <c r="N738" s="25" t="str">
        <f aca="false">IF(OR(I738="",J738="",I738=G738),"",IF(E738="Buy",(J738-I738)/(I738-G738),(I738-J738)/(G738-I738)))</f>
        <v/>
      </c>
      <c r="O738" s="2" t="str">
        <f aca="false">IF(OR(B738="",K738=""),"",IFERROR(K738-B738,""))</f>
        <v/>
      </c>
      <c r="P738" s="2" t="str">
        <f aca="false">IF(M738="","",IF(M738&gt;0,1,0))</f>
        <v/>
      </c>
    </row>
    <row r="739" customFormat="false" ht="15" hidden="false" customHeight="false" outlineLevel="0" collapsed="false">
      <c r="M739" s="24" t="str">
        <f aca="false">IF(OR(I739="",J739=""),"",IF(E739="Buy",(J739-I739)/I739,(I739-J739)/I739))</f>
        <v/>
      </c>
      <c r="N739" s="25" t="str">
        <f aca="false">IF(OR(I739="",J739="",I739=G739),"",IF(E739="Buy",(J739-I739)/(I739-G739),(I739-J739)/(G739-I739)))</f>
        <v/>
      </c>
      <c r="O739" s="2" t="str">
        <f aca="false">IF(OR(B739="",K739=""),"",IFERROR(K739-B739,""))</f>
        <v/>
      </c>
      <c r="P739" s="2" t="str">
        <f aca="false">IF(M739="","",IF(M739&gt;0,1,0))</f>
        <v/>
      </c>
    </row>
    <row r="740" customFormat="false" ht="15" hidden="false" customHeight="false" outlineLevel="0" collapsed="false">
      <c r="M740" s="24" t="str">
        <f aca="false">IF(OR(I740="",J740=""),"",IF(E740="Buy",(J740-I740)/I740,(I740-J740)/I740))</f>
        <v/>
      </c>
      <c r="N740" s="25" t="str">
        <f aca="false">IF(OR(I740="",J740="",I740=G740),"",IF(E740="Buy",(J740-I740)/(I740-G740),(I740-J740)/(G740-I740)))</f>
        <v/>
      </c>
      <c r="O740" s="2" t="str">
        <f aca="false">IF(OR(B740="",K740=""),"",IFERROR(K740-B740,""))</f>
        <v/>
      </c>
      <c r="P740" s="2" t="str">
        <f aca="false">IF(M740="","",IF(M740&gt;0,1,0))</f>
        <v/>
      </c>
    </row>
    <row r="741" customFormat="false" ht="15" hidden="false" customHeight="false" outlineLevel="0" collapsed="false">
      <c r="M741" s="24" t="str">
        <f aca="false">IF(OR(I741="",J741=""),"",IF(E741="Buy",(J741-I741)/I741,(I741-J741)/I741))</f>
        <v/>
      </c>
      <c r="N741" s="25" t="str">
        <f aca="false">IF(OR(I741="",J741="",I741=G741),"",IF(E741="Buy",(J741-I741)/(I741-G741),(I741-J741)/(G741-I741)))</f>
        <v/>
      </c>
      <c r="O741" s="2" t="str">
        <f aca="false">IF(OR(B741="",K741=""),"",IFERROR(K741-B741,""))</f>
        <v/>
      </c>
      <c r="P741" s="2" t="str">
        <f aca="false">IF(M741="","",IF(M741&gt;0,1,0))</f>
        <v/>
      </c>
    </row>
    <row r="742" customFormat="false" ht="15" hidden="false" customHeight="false" outlineLevel="0" collapsed="false">
      <c r="M742" s="24" t="str">
        <f aca="false">IF(OR(I742="",J742=""),"",IF(E742="Buy",(J742-I742)/I742,(I742-J742)/I742))</f>
        <v/>
      </c>
      <c r="N742" s="25" t="str">
        <f aca="false">IF(OR(I742="",J742="",I742=G742),"",IF(E742="Buy",(J742-I742)/(I742-G742),(I742-J742)/(G742-I742)))</f>
        <v/>
      </c>
      <c r="O742" s="2" t="str">
        <f aca="false">IF(OR(B742="",K742=""),"",IFERROR(K742-B742,""))</f>
        <v/>
      </c>
      <c r="P742" s="2" t="str">
        <f aca="false">IF(M742="","",IF(M742&gt;0,1,0))</f>
        <v/>
      </c>
    </row>
    <row r="743" customFormat="false" ht="15" hidden="false" customHeight="false" outlineLevel="0" collapsed="false">
      <c r="M743" s="24" t="str">
        <f aca="false">IF(OR(I743="",J743=""),"",IF(E743="Buy",(J743-I743)/I743,(I743-J743)/I743))</f>
        <v/>
      </c>
      <c r="N743" s="25" t="str">
        <f aca="false">IF(OR(I743="",J743="",I743=G743),"",IF(E743="Buy",(J743-I743)/(I743-G743),(I743-J743)/(G743-I743)))</f>
        <v/>
      </c>
      <c r="O743" s="2" t="str">
        <f aca="false">IF(OR(B743="",K743=""),"",IFERROR(K743-B743,""))</f>
        <v/>
      </c>
      <c r="P743" s="2" t="str">
        <f aca="false">IF(M743="","",IF(M743&gt;0,1,0))</f>
        <v/>
      </c>
    </row>
    <row r="744" customFormat="false" ht="15" hidden="false" customHeight="false" outlineLevel="0" collapsed="false">
      <c r="M744" s="24" t="str">
        <f aca="false">IF(OR(I744="",J744=""),"",IF(E744="Buy",(J744-I744)/I744,(I744-J744)/I744))</f>
        <v/>
      </c>
      <c r="N744" s="25" t="str">
        <f aca="false">IF(OR(I744="",J744="",I744=G744),"",IF(E744="Buy",(J744-I744)/(I744-G744),(I744-J744)/(G744-I744)))</f>
        <v/>
      </c>
      <c r="O744" s="2" t="str">
        <f aca="false">IF(OR(B744="",K744=""),"",IFERROR(K744-B744,""))</f>
        <v/>
      </c>
      <c r="P744" s="2" t="str">
        <f aca="false">IF(M744="","",IF(M744&gt;0,1,0))</f>
        <v/>
      </c>
    </row>
    <row r="745" customFormat="false" ht="15" hidden="false" customHeight="false" outlineLevel="0" collapsed="false">
      <c r="M745" s="24" t="str">
        <f aca="false">IF(OR(I745="",J745=""),"",IF(E745="Buy",(J745-I745)/I745,(I745-J745)/I745))</f>
        <v/>
      </c>
      <c r="N745" s="25" t="str">
        <f aca="false">IF(OR(I745="",J745="",I745=G745),"",IF(E745="Buy",(J745-I745)/(I745-G745),(I745-J745)/(G745-I745)))</f>
        <v/>
      </c>
      <c r="O745" s="2" t="str">
        <f aca="false">IF(OR(B745="",K745=""),"",IFERROR(K745-B745,""))</f>
        <v/>
      </c>
      <c r="P745" s="2" t="str">
        <f aca="false">IF(M745="","",IF(M745&gt;0,1,0))</f>
        <v/>
      </c>
    </row>
    <row r="746" customFormat="false" ht="15" hidden="false" customHeight="false" outlineLevel="0" collapsed="false">
      <c r="M746" s="24" t="str">
        <f aca="false">IF(OR(I746="",J746=""),"",IF(E746="Buy",(J746-I746)/I746,(I746-J746)/I746))</f>
        <v/>
      </c>
      <c r="N746" s="25" t="str">
        <f aca="false">IF(OR(I746="",J746="",I746=G746),"",IF(E746="Buy",(J746-I746)/(I746-G746),(I746-J746)/(G746-I746)))</f>
        <v/>
      </c>
      <c r="O746" s="2" t="str">
        <f aca="false">IF(OR(B746="",K746=""),"",IFERROR(K746-B746,""))</f>
        <v/>
      </c>
      <c r="P746" s="2" t="str">
        <f aca="false">IF(M746="","",IF(M746&gt;0,1,0))</f>
        <v/>
      </c>
    </row>
    <row r="747" customFormat="false" ht="15" hidden="false" customHeight="false" outlineLevel="0" collapsed="false">
      <c r="M747" s="24" t="str">
        <f aca="false">IF(OR(I747="",J747=""),"",IF(E747="Buy",(J747-I747)/I747,(I747-J747)/I747))</f>
        <v/>
      </c>
      <c r="N747" s="25" t="str">
        <f aca="false">IF(OR(I747="",J747="",I747=G747),"",IF(E747="Buy",(J747-I747)/(I747-G747),(I747-J747)/(G747-I747)))</f>
        <v/>
      </c>
      <c r="O747" s="2" t="str">
        <f aca="false">IF(OR(B747="",K747=""),"",IFERROR(K747-B747,""))</f>
        <v/>
      </c>
      <c r="P747" s="2" t="str">
        <f aca="false">IF(M747="","",IF(M747&gt;0,1,0))</f>
        <v/>
      </c>
    </row>
    <row r="748" customFormat="false" ht="15" hidden="false" customHeight="false" outlineLevel="0" collapsed="false">
      <c r="M748" s="24" t="str">
        <f aca="false">IF(OR(I748="",J748=""),"",IF(E748="Buy",(J748-I748)/I748,(I748-J748)/I748))</f>
        <v/>
      </c>
      <c r="N748" s="25" t="str">
        <f aca="false">IF(OR(I748="",J748="",I748=G748),"",IF(E748="Buy",(J748-I748)/(I748-G748),(I748-J748)/(G748-I748)))</f>
        <v/>
      </c>
      <c r="O748" s="2" t="str">
        <f aca="false">IF(OR(B748="",K748=""),"",IFERROR(K748-B748,""))</f>
        <v/>
      </c>
      <c r="P748" s="2" t="str">
        <f aca="false">IF(M748="","",IF(M748&gt;0,1,0))</f>
        <v/>
      </c>
    </row>
    <row r="749" customFormat="false" ht="15" hidden="false" customHeight="false" outlineLevel="0" collapsed="false">
      <c r="M749" s="24" t="str">
        <f aca="false">IF(OR(I749="",J749=""),"",IF(E749="Buy",(J749-I749)/I749,(I749-J749)/I749))</f>
        <v/>
      </c>
      <c r="N749" s="25" t="str">
        <f aca="false">IF(OR(I749="",J749="",I749=G749),"",IF(E749="Buy",(J749-I749)/(I749-G749),(I749-J749)/(G749-I749)))</f>
        <v/>
      </c>
      <c r="O749" s="2" t="str">
        <f aca="false">IF(OR(B749="",K749=""),"",IFERROR(K749-B749,""))</f>
        <v/>
      </c>
      <c r="P749" s="2" t="str">
        <f aca="false">IF(M749="","",IF(M749&gt;0,1,0))</f>
        <v/>
      </c>
    </row>
    <row r="750" customFormat="false" ht="15" hidden="false" customHeight="false" outlineLevel="0" collapsed="false">
      <c r="M750" s="24" t="str">
        <f aca="false">IF(OR(I750="",J750=""),"",IF(E750="Buy",(J750-I750)/I750,(I750-J750)/I750))</f>
        <v/>
      </c>
      <c r="N750" s="25" t="str">
        <f aca="false">IF(OR(I750="",J750="",I750=G750),"",IF(E750="Buy",(J750-I750)/(I750-G750),(I750-J750)/(G750-I750)))</f>
        <v/>
      </c>
      <c r="O750" s="2" t="str">
        <f aca="false">IF(OR(B750="",K750=""),"",IFERROR(K750-B750,""))</f>
        <v/>
      </c>
      <c r="P750" s="2" t="str">
        <f aca="false">IF(M750="","",IF(M750&gt;0,1,0))</f>
        <v/>
      </c>
    </row>
    <row r="751" customFormat="false" ht="15" hidden="false" customHeight="false" outlineLevel="0" collapsed="false">
      <c r="M751" s="24" t="str">
        <f aca="false">IF(OR(I751="",J751=""),"",IF(E751="Buy",(J751-I751)/I751,(I751-J751)/I751))</f>
        <v/>
      </c>
      <c r="N751" s="25" t="str">
        <f aca="false">IF(OR(I751="",J751="",I751=G751),"",IF(E751="Buy",(J751-I751)/(I751-G751),(I751-J751)/(G751-I751)))</f>
        <v/>
      </c>
      <c r="O751" s="2" t="str">
        <f aca="false">IF(OR(B751="",K751=""),"",IFERROR(K751-B751,""))</f>
        <v/>
      </c>
      <c r="P751" s="2" t="str">
        <f aca="false">IF(M751="","",IF(M751&gt;0,1,0))</f>
        <v/>
      </c>
    </row>
    <row r="752" customFormat="false" ht="15" hidden="false" customHeight="false" outlineLevel="0" collapsed="false">
      <c r="M752" s="24" t="str">
        <f aca="false">IF(OR(I752="",J752=""),"",IF(E752="Buy",(J752-I752)/I752,(I752-J752)/I752))</f>
        <v/>
      </c>
      <c r="N752" s="25" t="str">
        <f aca="false">IF(OR(I752="",J752="",I752=G752),"",IF(E752="Buy",(J752-I752)/(I752-G752),(I752-J752)/(G752-I752)))</f>
        <v/>
      </c>
      <c r="O752" s="2" t="str">
        <f aca="false">IF(OR(B752="",K752=""),"",IFERROR(K752-B752,""))</f>
        <v/>
      </c>
      <c r="P752" s="2" t="str">
        <f aca="false">IF(M752="","",IF(M752&gt;0,1,0))</f>
        <v/>
      </c>
    </row>
    <row r="753" customFormat="false" ht="15" hidden="false" customHeight="false" outlineLevel="0" collapsed="false">
      <c r="M753" s="24" t="str">
        <f aca="false">IF(OR(I753="",J753=""),"",IF(E753="Buy",(J753-I753)/I753,(I753-J753)/I753))</f>
        <v/>
      </c>
      <c r="N753" s="25" t="str">
        <f aca="false">IF(OR(I753="",J753="",I753=G753),"",IF(E753="Buy",(J753-I753)/(I753-G753),(I753-J753)/(G753-I753)))</f>
        <v/>
      </c>
      <c r="O753" s="2" t="str">
        <f aca="false">IF(OR(B753="",K753=""),"",IFERROR(K753-B753,""))</f>
        <v/>
      </c>
      <c r="P753" s="2" t="str">
        <f aca="false">IF(M753="","",IF(M753&gt;0,1,0))</f>
        <v/>
      </c>
    </row>
    <row r="754" customFormat="false" ht="15" hidden="false" customHeight="false" outlineLevel="0" collapsed="false">
      <c r="M754" s="24" t="str">
        <f aca="false">IF(OR(I754="",J754=""),"",IF(E754="Buy",(J754-I754)/I754,(I754-J754)/I754))</f>
        <v/>
      </c>
      <c r="N754" s="25" t="str">
        <f aca="false">IF(OR(I754="",J754="",I754=G754),"",IF(E754="Buy",(J754-I754)/(I754-G754),(I754-J754)/(G754-I754)))</f>
        <v/>
      </c>
      <c r="O754" s="2" t="str">
        <f aca="false">IF(OR(B754="",K754=""),"",IFERROR(K754-B754,""))</f>
        <v/>
      </c>
      <c r="P754" s="2" t="str">
        <f aca="false">IF(M754="","",IF(M754&gt;0,1,0))</f>
        <v/>
      </c>
    </row>
    <row r="755" customFormat="false" ht="15" hidden="false" customHeight="false" outlineLevel="0" collapsed="false">
      <c r="M755" s="24" t="str">
        <f aca="false">IF(OR(I755="",J755=""),"",IF(E755="Buy",(J755-I755)/I755,(I755-J755)/I755))</f>
        <v/>
      </c>
      <c r="N755" s="25" t="str">
        <f aca="false">IF(OR(I755="",J755="",I755=G755),"",IF(E755="Buy",(J755-I755)/(I755-G755),(I755-J755)/(G755-I755)))</f>
        <v/>
      </c>
      <c r="O755" s="2" t="str">
        <f aca="false">IF(OR(B755="",K755=""),"",IFERROR(K755-B755,""))</f>
        <v/>
      </c>
      <c r="P755" s="2" t="str">
        <f aca="false">IF(M755="","",IF(M755&gt;0,1,0))</f>
        <v/>
      </c>
    </row>
    <row r="756" customFormat="false" ht="15" hidden="false" customHeight="false" outlineLevel="0" collapsed="false">
      <c r="M756" s="24" t="str">
        <f aca="false">IF(OR(I756="",J756=""),"",IF(E756="Buy",(J756-I756)/I756,(I756-J756)/I756))</f>
        <v/>
      </c>
      <c r="N756" s="25" t="str">
        <f aca="false">IF(OR(I756="",J756="",I756=G756),"",IF(E756="Buy",(J756-I756)/(I756-G756),(I756-J756)/(G756-I756)))</f>
        <v/>
      </c>
      <c r="O756" s="2" t="str">
        <f aca="false">IF(OR(B756="",K756=""),"",IFERROR(K756-B756,""))</f>
        <v/>
      </c>
      <c r="P756" s="2" t="str">
        <f aca="false">IF(M756="","",IF(M756&gt;0,1,0))</f>
        <v/>
      </c>
    </row>
    <row r="757" customFormat="false" ht="15" hidden="false" customHeight="false" outlineLevel="0" collapsed="false">
      <c r="M757" s="24" t="str">
        <f aca="false">IF(OR(I757="",J757=""),"",IF(E757="Buy",(J757-I757)/I757,(I757-J757)/I757))</f>
        <v/>
      </c>
      <c r="N757" s="25" t="str">
        <f aca="false">IF(OR(I757="",J757="",I757=G757),"",IF(E757="Buy",(J757-I757)/(I757-G757),(I757-J757)/(G757-I757)))</f>
        <v/>
      </c>
      <c r="O757" s="2" t="str">
        <f aca="false">IF(OR(B757="",K757=""),"",IFERROR(K757-B757,""))</f>
        <v/>
      </c>
      <c r="P757" s="2" t="str">
        <f aca="false">IF(M757="","",IF(M757&gt;0,1,0))</f>
        <v/>
      </c>
    </row>
    <row r="758" customFormat="false" ht="15" hidden="false" customHeight="false" outlineLevel="0" collapsed="false">
      <c r="M758" s="24" t="str">
        <f aca="false">IF(OR(I758="",J758=""),"",IF(E758="Buy",(J758-I758)/I758,(I758-J758)/I758))</f>
        <v/>
      </c>
      <c r="N758" s="25" t="str">
        <f aca="false">IF(OR(I758="",J758="",I758=G758),"",IF(E758="Buy",(J758-I758)/(I758-G758),(I758-J758)/(G758-I758)))</f>
        <v/>
      </c>
      <c r="O758" s="2" t="str">
        <f aca="false">IF(OR(B758="",K758=""),"",IFERROR(K758-B758,""))</f>
        <v/>
      </c>
      <c r="P758" s="2" t="str">
        <f aca="false">IF(M758="","",IF(M758&gt;0,1,0))</f>
        <v/>
      </c>
    </row>
    <row r="759" customFormat="false" ht="15" hidden="false" customHeight="false" outlineLevel="0" collapsed="false">
      <c r="M759" s="24" t="str">
        <f aca="false">IF(OR(I759="",J759=""),"",IF(E759="Buy",(J759-I759)/I759,(I759-J759)/I759))</f>
        <v/>
      </c>
      <c r="N759" s="25" t="str">
        <f aca="false">IF(OR(I759="",J759="",I759=G759),"",IF(E759="Buy",(J759-I759)/(I759-G759),(I759-J759)/(G759-I759)))</f>
        <v/>
      </c>
      <c r="O759" s="2" t="str">
        <f aca="false">IF(OR(B759="",K759=""),"",IFERROR(K759-B759,""))</f>
        <v/>
      </c>
      <c r="P759" s="2" t="str">
        <f aca="false">IF(M759="","",IF(M759&gt;0,1,0))</f>
        <v/>
      </c>
    </row>
    <row r="760" customFormat="false" ht="15" hidden="false" customHeight="false" outlineLevel="0" collapsed="false">
      <c r="M760" s="24" t="str">
        <f aca="false">IF(OR(I760="",J760=""),"",IF(E760="Buy",(J760-I760)/I760,(I760-J760)/I760))</f>
        <v/>
      </c>
      <c r="N760" s="25" t="str">
        <f aca="false">IF(OR(I760="",J760="",I760=G760),"",IF(E760="Buy",(J760-I760)/(I760-G760),(I760-J760)/(G760-I760)))</f>
        <v/>
      </c>
      <c r="O760" s="2" t="str">
        <f aca="false">IF(OR(B760="",K760=""),"",IFERROR(K760-B760,""))</f>
        <v/>
      </c>
      <c r="P760" s="2" t="str">
        <f aca="false">IF(M760="","",IF(M760&gt;0,1,0))</f>
        <v/>
      </c>
    </row>
    <row r="761" customFormat="false" ht="15" hidden="false" customHeight="false" outlineLevel="0" collapsed="false">
      <c r="M761" s="24" t="str">
        <f aca="false">IF(OR(I761="",J761=""),"",IF(E761="Buy",(J761-I761)/I761,(I761-J761)/I761))</f>
        <v/>
      </c>
      <c r="N761" s="25" t="str">
        <f aca="false">IF(OR(I761="",J761="",I761=G761),"",IF(E761="Buy",(J761-I761)/(I761-G761),(I761-J761)/(G761-I761)))</f>
        <v/>
      </c>
      <c r="O761" s="2" t="str">
        <f aca="false">IF(OR(B761="",K761=""),"",IFERROR(K761-B761,""))</f>
        <v/>
      </c>
      <c r="P761" s="2" t="str">
        <f aca="false">IF(M761="","",IF(M761&gt;0,1,0))</f>
        <v/>
      </c>
    </row>
    <row r="762" customFormat="false" ht="15" hidden="false" customHeight="false" outlineLevel="0" collapsed="false">
      <c r="M762" s="24" t="str">
        <f aca="false">IF(OR(I762="",J762=""),"",IF(E762="Buy",(J762-I762)/I762,(I762-J762)/I762))</f>
        <v/>
      </c>
      <c r="N762" s="25" t="str">
        <f aca="false">IF(OR(I762="",J762="",I762=G762),"",IF(E762="Buy",(J762-I762)/(I762-G762),(I762-J762)/(G762-I762)))</f>
        <v/>
      </c>
      <c r="O762" s="2" t="str">
        <f aca="false">IF(OR(B762="",K762=""),"",IFERROR(K762-B762,""))</f>
        <v/>
      </c>
      <c r="P762" s="2" t="str">
        <f aca="false">IF(M762="","",IF(M762&gt;0,1,0))</f>
        <v/>
      </c>
    </row>
    <row r="763" customFormat="false" ht="15" hidden="false" customHeight="false" outlineLevel="0" collapsed="false">
      <c r="M763" s="24" t="str">
        <f aca="false">IF(OR(I763="",J763=""),"",IF(E763="Buy",(J763-I763)/I763,(I763-J763)/I763))</f>
        <v/>
      </c>
      <c r="N763" s="25" t="str">
        <f aca="false">IF(OR(I763="",J763="",I763=G763),"",IF(E763="Buy",(J763-I763)/(I763-G763),(I763-J763)/(G763-I763)))</f>
        <v/>
      </c>
      <c r="O763" s="2" t="str">
        <f aca="false">IF(OR(B763="",K763=""),"",IFERROR(K763-B763,""))</f>
        <v/>
      </c>
      <c r="P763" s="2" t="str">
        <f aca="false">IF(M763="","",IF(M763&gt;0,1,0))</f>
        <v/>
      </c>
    </row>
    <row r="764" customFormat="false" ht="15" hidden="false" customHeight="false" outlineLevel="0" collapsed="false">
      <c r="M764" s="24" t="str">
        <f aca="false">IF(OR(I764="",J764=""),"",IF(E764="Buy",(J764-I764)/I764,(I764-J764)/I764))</f>
        <v/>
      </c>
      <c r="N764" s="25" t="str">
        <f aca="false">IF(OR(I764="",J764="",I764=G764),"",IF(E764="Buy",(J764-I764)/(I764-G764),(I764-J764)/(G764-I764)))</f>
        <v/>
      </c>
      <c r="O764" s="2" t="str">
        <f aca="false">IF(OR(B764="",K764=""),"",IFERROR(K764-B764,""))</f>
        <v/>
      </c>
      <c r="P764" s="2" t="str">
        <f aca="false">IF(M764="","",IF(M764&gt;0,1,0))</f>
        <v/>
      </c>
    </row>
    <row r="765" customFormat="false" ht="15" hidden="false" customHeight="false" outlineLevel="0" collapsed="false">
      <c r="M765" s="24" t="str">
        <f aca="false">IF(OR(I765="",J765=""),"",IF(E765="Buy",(J765-I765)/I765,(I765-J765)/I765))</f>
        <v/>
      </c>
      <c r="N765" s="25" t="str">
        <f aca="false">IF(OR(I765="",J765="",I765=G765),"",IF(E765="Buy",(J765-I765)/(I765-G765),(I765-J765)/(G765-I765)))</f>
        <v/>
      </c>
      <c r="O765" s="2" t="str">
        <f aca="false">IF(OR(B765="",K765=""),"",IFERROR(K765-B765,""))</f>
        <v/>
      </c>
      <c r="P765" s="2" t="str">
        <f aca="false">IF(M765="","",IF(M765&gt;0,1,0))</f>
        <v/>
      </c>
    </row>
    <row r="766" customFormat="false" ht="15" hidden="false" customHeight="false" outlineLevel="0" collapsed="false">
      <c r="M766" s="24" t="str">
        <f aca="false">IF(OR(I766="",J766=""),"",IF(E766="Buy",(J766-I766)/I766,(I766-J766)/I766))</f>
        <v/>
      </c>
      <c r="N766" s="25" t="str">
        <f aca="false">IF(OR(I766="",J766="",I766=G766),"",IF(E766="Buy",(J766-I766)/(I766-G766),(I766-J766)/(G766-I766)))</f>
        <v/>
      </c>
      <c r="O766" s="2" t="str">
        <f aca="false">IF(OR(B766="",K766=""),"",IFERROR(K766-B766,""))</f>
        <v/>
      </c>
      <c r="P766" s="2" t="str">
        <f aca="false">IF(M766="","",IF(M766&gt;0,1,0))</f>
        <v/>
      </c>
    </row>
    <row r="767" customFormat="false" ht="15" hidden="false" customHeight="false" outlineLevel="0" collapsed="false">
      <c r="M767" s="24" t="str">
        <f aca="false">IF(OR(I767="",J767=""),"",IF(E767="Buy",(J767-I767)/I767,(I767-J767)/I767))</f>
        <v/>
      </c>
      <c r="N767" s="25" t="str">
        <f aca="false">IF(OR(I767="",J767="",I767=G767),"",IF(E767="Buy",(J767-I767)/(I767-G767),(I767-J767)/(G767-I767)))</f>
        <v/>
      </c>
      <c r="O767" s="2" t="str">
        <f aca="false">IF(OR(B767="",K767=""),"",IFERROR(K767-B767,""))</f>
        <v/>
      </c>
      <c r="P767" s="2" t="str">
        <f aca="false">IF(M767="","",IF(M767&gt;0,1,0))</f>
        <v/>
      </c>
    </row>
    <row r="768" customFormat="false" ht="15" hidden="false" customHeight="false" outlineLevel="0" collapsed="false">
      <c r="M768" s="24" t="str">
        <f aca="false">IF(OR(I768="",J768=""),"",IF(E768="Buy",(J768-I768)/I768,(I768-J768)/I768))</f>
        <v/>
      </c>
      <c r="N768" s="25" t="str">
        <f aca="false">IF(OR(I768="",J768="",I768=G768),"",IF(E768="Buy",(J768-I768)/(I768-G768),(I768-J768)/(G768-I768)))</f>
        <v/>
      </c>
      <c r="O768" s="2" t="str">
        <f aca="false">IF(OR(B768="",K768=""),"",IFERROR(K768-B768,""))</f>
        <v/>
      </c>
      <c r="P768" s="2" t="str">
        <f aca="false">IF(M768="","",IF(M768&gt;0,1,0))</f>
        <v/>
      </c>
    </row>
    <row r="769" customFormat="false" ht="15" hidden="false" customHeight="false" outlineLevel="0" collapsed="false">
      <c r="M769" s="24" t="str">
        <f aca="false">IF(OR(I769="",J769=""),"",IF(E769="Buy",(J769-I769)/I769,(I769-J769)/I769))</f>
        <v/>
      </c>
      <c r="N769" s="25" t="str">
        <f aca="false">IF(OR(I769="",J769="",I769=G769),"",IF(E769="Buy",(J769-I769)/(I769-G769),(I769-J769)/(G769-I769)))</f>
        <v/>
      </c>
      <c r="O769" s="2" t="str">
        <f aca="false">IF(OR(B769="",K769=""),"",IFERROR(K769-B769,""))</f>
        <v/>
      </c>
      <c r="P769" s="2" t="str">
        <f aca="false">IF(M769="","",IF(M769&gt;0,1,0))</f>
        <v/>
      </c>
    </row>
    <row r="770" customFormat="false" ht="15" hidden="false" customHeight="false" outlineLevel="0" collapsed="false">
      <c r="M770" s="24" t="str">
        <f aca="false">IF(OR(I770="",J770=""),"",IF(E770="Buy",(J770-I770)/I770,(I770-J770)/I770))</f>
        <v/>
      </c>
      <c r="N770" s="25" t="str">
        <f aca="false">IF(OR(I770="",J770="",I770=G770),"",IF(E770="Buy",(J770-I770)/(I770-G770),(I770-J770)/(G770-I770)))</f>
        <v/>
      </c>
      <c r="O770" s="2" t="str">
        <f aca="false">IF(OR(B770="",K770=""),"",IFERROR(K770-B770,""))</f>
        <v/>
      </c>
      <c r="P770" s="2" t="str">
        <f aca="false">IF(M770="","",IF(M770&gt;0,1,0))</f>
        <v/>
      </c>
    </row>
    <row r="771" customFormat="false" ht="15" hidden="false" customHeight="false" outlineLevel="0" collapsed="false">
      <c r="M771" s="24" t="str">
        <f aca="false">IF(OR(I771="",J771=""),"",IF(E771="Buy",(J771-I771)/I771,(I771-J771)/I771))</f>
        <v/>
      </c>
      <c r="N771" s="25" t="str">
        <f aca="false">IF(OR(I771="",J771="",I771=G771),"",IF(E771="Buy",(J771-I771)/(I771-G771),(I771-J771)/(G771-I771)))</f>
        <v/>
      </c>
      <c r="O771" s="2" t="str">
        <f aca="false">IF(OR(B771="",K771=""),"",IFERROR(K771-B771,""))</f>
        <v/>
      </c>
      <c r="P771" s="2" t="str">
        <f aca="false">IF(M771="","",IF(M771&gt;0,1,0))</f>
        <v/>
      </c>
    </row>
    <row r="772" customFormat="false" ht="15" hidden="false" customHeight="false" outlineLevel="0" collapsed="false">
      <c r="M772" s="24" t="str">
        <f aca="false">IF(OR(I772="",J772=""),"",IF(E772="Buy",(J772-I772)/I772,(I772-J772)/I772))</f>
        <v/>
      </c>
      <c r="N772" s="25" t="str">
        <f aca="false">IF(OR(I772="",J772="",I772=G772),"",IF(E772="Buy",(J772-I772)/(I772-G772),(I772-J772)/(G772-I772)))</f>
        <v/>
      </c>
      <c r="O772" s="2" t="str">
        <f aca="false">IF(OR(B772="",K772=""),"",IFERROR(K772-B772,""))</f>
        <v/>
      </c>
      <c r="P772" s="2" t="str">
        <f aca="false">IF(M772="","",IF(M772&gt;0,1,0))</f>
        <v/>
      </c>
    </row>
    <row r="773" customFormat="false" ht="15" hidden="false" customHeight="false" outlineLevel="0" collapsed="false">
      <c r="M773" s="24" t="str">
        <f aca="false">IF(OR(I773="",J773=""),"",IF(E773="Buy",(J773-I773)/I773,(I773-J773)/I773))</f>
        <v/>
      </c>
      <c r="N773" s="25" t="str">
        <f aca="false">IF(OR(I773="",J773="",I773=G773),"",IF(E773="Buy",(J773-I773)/(I773-G773),(I773-J773)/(G773-I773)))</f>
        <v/>
      </c>
      <c r="O773" s="2" t="str">
        <f aca="false">IF(OR(B773="",K773=""),"",IFERROR(K773-B773,""))</f>
        <v/>
      </c>
      <c r="P773" s="2" t="str">
        <f aca="false">IF(M773="","",IF(M773&gt;0,1,0))</f>
        <v/>
      </c>
    </row>
    <row r="774" customFormat="false" ht="15" hidden="false" customHeight="false" outlineLevel="0" collapsed="false">
      <c r="M774" s="24" t="str">
        <f aca="false">IF(OR(I774="",J774=""),"",IF(E774="Buy",(J774-I774)/I774,(I774-J774)/I774))</f>
        <v/>
      </c>
      <c r="N774" s="25" t="str">
        <f aca="false">IF(OR(I774="",J774="",I774=G774),"",IF(E774="Buy",(J774-I774)/(I774-G774),(I774-J774)/(G774-I774)))</f>
        <v/>
      </c>
      <c r="O774" s="2" t="str">
        <f aca="false">IF(OR(B774="",K774=""),"",IFERROR(K774-B774,""))</f>
        <v/>
      </c>
      <c r="P774" s="2" t="str">
        <f aca="false">IF(M774="","",IF(M774&gt;0,1,0))</f>
        <v/>
      </c>
    </row>
    <row r="775" customFormat="false" ht="15" hidden="false" customHeight="false" outlineLevel="0" collapsed="false">
      <c r="M775" s="24" t="str">
        <f aca="false">IF(OR(I775="",J775=""),"",IF(E775="Buy",(J775-I775)/I775,(I775-J775)/I775))</f>
        <v/>
      </c>
      <c r="N775" s="25" t="str">
        <f aca="false">IF(OR(I775="",J775="",I775=G775),"",IF(E775="Buy",(J775-I775)/(I775-G775),(I775-J775)/(G775-I775)))</f>
        <v/>
      </c>
      <c r="O775" s="2" t="str">
        <f aca="false">IF(OR(B775="",K775=""),"",IFERROR(K775-B775,""))</f>
        <v/>
      </c>
      <c r="P775" s="2" t="str">
        <f aca="false">IF(M775="","",IF(M775&gt;0,1,0))</f>
        <v/>
      </c>
    </row>
    <row r="776" customFormat="false" ht="15" hidden="false" customHeight="false" outlineLevel="0" collapsed="false">
      <c r="M776" s="24" t="str">
        <f aca="false">IF(OR(I776="",J776=""),"",IF(E776="Buy",(J776-I776)/I776,(I776-J776)/I776))</f>
        <v/>
      </c>
      <c r="N776" s="25" t="str">
        <f aca="false">IF(OR(I776="",J776="",I776=G776),"",IF(E776="Buy",(J776-I776)/(I776-G776),(I776-J776)/(G776-I776)))</f>
        <v/>
      </c>
      <c r="O776" s="2" t="str">
        <f aca="false">IF(OR(B776="",K776=""),"",IFERROR(K776-B776,""))</f>
        <v/>
      </c>
      <c r="P776" s="2" t="str">
        <f aca="false">IF(M776="","",IF(M776&gt;0,1,0))</f>
        <v/>
      </c>
    </row>
    <row r="777" customFormat="false" ht="15" hidden="false" customHeight="false" outlineLevel="0" collapsed="false">
      <c r="M777" s="24" t="str">
        <f aca="false">IF(OR(I777="",J777=""),"",IF(E777="Buy",(J777-I777)/I777,(I777-J777)/I777))</f>
        <v/>
      </c>
      <c r="N777" s="25" t="str">
        <f aca="false">IF(OR(I777="",J777="",I777=G777),"",IF(E777="Buy",(J777-I777)/(I777-G777),(I777-J777)/(G777-I777)))</f>
        <v/>
      </c>
      <c r="O777" s="2" t="str">
        <f aca="false">IF(OR(B777="",K777=""),"",IFERROR(K777-B777,""))</f>
        <v/>
      </c>
      <c r="P777" s="2" t="str">
        <f aca="false">IF(M777="","",IF(M777&gt;0,1,0))</f>
        <v/>
      </c>
    </row>
    <row r="778" customFormat="false" ht="15" hidden="false" customHeight="false" outlineLevel="0" collapsed="false">
      <c r="M778" s="24" t="str">
        <f aca="false">IF(OR(I778="",J778=""),"",IF(E778="Buy",(J778-I778)/I778,(I778-J778)/I778))</f>
        <v/>
      </c>
      <c r="N778" s="25" t="str">
        <f aca="false">IF(OR(I778="",J778="",I778=G778),"",IF(E778="Buy",(J778-I778)/(I778-G778),(I778-J778)/(G778-I778)))</f>
        <v/>
      </c>
      <c r="O778" s="2" t="str">
        <f aca="false">IF(OR(B778="",K778=""),"",IFERROR(K778-B778,""))</f>
        <v/>
      </c>
      <c r="P778" s="2" t="str">
        <f aca="false">IF(M778="","",IF(M778&gt;0,1,0))</f>
        <v/>
      </c>
    </row>
    <row r="779" customFormat="false" ht="15" hidden="false" customHeight="false" outlineLevel="0" collapsed="false">
      <c r="M779" s="24" t="str">
        <f aca="false">IF(OR(I779="",J779=""),"",IF(E779="Buy",(J779-I779)/I779,(I779-J779)/I779))</f>
        <v/>
      </c>
      <c r="N779" s="25" t="str">
        <f aca="false">IF(OR(I779="",J779="",I779=G779),"",IF(E779="Buy",(J779-I779)/(I779-G779),(I779-J779)/(G779-I779)))</f>
        <v/>
      </c>
      <c r="O779" s="2" t="str">
        <f aca="false">IF(OR(B779="",K779=""),"",IFERROR(K779-B779,""))</f>
        <v/>
      </c>
      <c r="P779" s="2" t="str">
        <f aca="false">IF(M779="","",IF(M779&gt;0,1,0))</f>
        <v/>
      </c>
    </row>
    <row r="780" customFormat="false" ht="15" hidden="false" customHeight="false" outlineLevel="0" collapsed="false">
      <c r="M780" s="24" t="str">
        <f aca="false">IF(OR(I780="",J780=""),"",IF(E780="Buy",(J780-I780)/I780,(I780-J780)/I780))</f>
        <v/>
      </c>
      <c r="N780" s="25" t="str">
        <f aca="false">IF(OR(I780="",J780="",I780=G780),"",IF(E780="Buy",(J780-I780)/(I780-G780),(I780-J780)/(G780-I780)))</f>
        <v/>
      </c>
      <c r="O780" s="2" t="str">
        <f aca="false">IF(OR(B780="",K780=""),"",IFERROR(K780-B780,""))</f>
        <v/>
      </c>
      <c r="P780" s="2" t="str">
        <f aca="false">IF(M780="","",IF(M780&gt;0,1,0))</f>
        <v/>
      </c>
    </row>
    <row r="781" customFormat="false" ht="15" hidden="false" customHeight="false" outlineLevel="0" collapsed="false">
      <c r="M781" s="24" t="str">
        <f aca="false">IF(OR(I781="",J781=""),"",IF(E781="Buy",(J781-I781)/I781,(I781-J781)/I781))</f>
        <v/>
      </c>
      <c r="N781" s="25" t="str">
        <f aca="false">IF(OR(I781="",J781="",I781=G781),"",IF(E781="Buy",(J781-I781)/(I781-G781),(I781-J781)/(G781-I781)))</f>
        <v/>
      </c>
      <c r="O781" s="2" t="str">
        <f aca="false">IF(OR(B781="",K781=""),"",IFERROR(K781-B781,""))</f>
        <v/>
      </c>
      <c r="P781" s="2" t="str">
        <f aca="false">IF(M781="","",IF(M781&gt;0,1,0))</f>
        <v/>
      </c>
    </row>
    <row r="782" customFormat="false" ht="15" hidden="false" customHeight="false" outlineLevel="0" collapsed="false">
      <c r="M782" s="24" t="str">
        <f aca="false">IF(OR(I782="",J782=""),"",IF(E782="Buy",(J782-I782)/I782,(I782-J782)/I782))</f>
        <v/>
      </c>
      <c r="N782" s="25" t="str">
        <f aca="false">IF(OR(I782="",J782="",I782=G782),"",IF(E782="Buy",(J782-I782)/(I782-G782),(I782-J782)/(G782-I782)))</f>
        <v/>
      </c>
      <c r="O782" s="2" t="str">
        <f aca="false">IF(OR(B782="",K782=""),"",IFERROR(K782-B782,""))</f>
        <v/>
      </c>
      <c r="P782" s="2" t="str">
        <f aca="false">IF(M782="","",IF(M782&gt;0,1,0))</f>
        <v/>
      </c>
    </row>
    <row r="783" customFormat="false" ht="15" hidden="false" customHeight="false" outlineLevel="0" collapsed="false">
      <c r="M783" s="24" t="str">
        <f aca="false">IF(OR(I783="",J783=""),"",IF(E783="Buy",(J783-I783)/I783,(I783-J783)/I783))</f>
        <v/>
      </c>
      <c r="N783" s="25" t="str">
        <f aca="false">IF(OR(I783="",J783="",I783=G783),"",IF(E783="Buy",(J783-I783)/(I783-G783),(I783-J783)/(G783-I783)))</f>
        <v/>
      </c>
      <c r="O783" s="2" t="str">
        <f aca="false">IF(OR(B783="",K783=""),"",IFERROR(K783-B783,""))</f>
        <v/>
      </c>
      <c r="P783" s="2" t="str">
        <f aca="false">IF(M783="","",IF(M783&gt;0,1,0))</f>
        <v/>
      </c>
    </row>
    <row r="784" customFormat="false" ht="15" hidden="false" customHeight="false" outlineLevel="0" collapsed="false">
      <c r="M784" s="24" t="str">
        <f aca="false">IF(OR(I784="",J784=""),"",IF(E784="Buy",(J784-I784)/I784,(I784-J784)/I784))</f>
        <v/>
      </c>
      <c r="N784" s="25" t="str">
        <f aca="false">IF(OR(I784="",J784="",I784=G784),"",IF(E784="Buy",(J784-I784)/(I784-G784),(I784-J784)/(G784-I784)))</f>
        <v/>
      </c>
      <c r="O784" s="2" t="str">
        <f aca="false">IF(OR(B784="",K784=""),"",IFERROR(K784-B784,""))</f>
        <v/>
      </c>
      <c r="P784" s="2" t="str">
        <f aca="false">IF(M784="","",IF(M784&gt;0,1,0))</f>
        <v/>
      </c>
    </row>
    <row r="785" customFormat="false" ht="15" hidden="false" customHeight="false" outlineLevel="0" collapsed="false">
      <c r="M785" s="24" t="str">
        <f aca="false">IF(OR(I785="",J785=""),"",IF(E785="Buy",(J785-I785)/I785,(I785-J785)/I785))</f>
        <v/>
      </c>
      <c r="N785" s="25" t="str">
        <f aca="false">IF(OR(I785="",J785="",I785=G785),"",IF(E785="Buy",(J785-I785)/(I785-G785),(I785-J785)/(G785-I785)))</f>
        <v/>
      </c>
      <c r="O785" s="2" t="str">
        <f aca="false">IF(OR(B785="",K785=""),"",IFERROR(K785-B785,""))</f>
        <v/>
      </c>
      <c r="P785" s="2" t="str">
        <f aca="false">IF(M785="","",IF(M785&gt;0,1,0))</f>
        <v/>
      </c>
    </row>
    <row r="786" customFormat="false" ht="15" hidden="false" customHeight="false" outlineLevel="0" collapsed="false">
      <c r="M786" s="24" t="str">
        <f aca="false">IF(OR(I786="",J786=""),"",IF(E786="Buy",(J786-I786)/I786,(I786-J786)/I786))</f>
        <v/>
      </c>
      <c r="N786" s="25" t="str">
        <f aca="false">IF(OR(I786="",J786="",I786=G786),"",IF(E786="Buy",(J786-I786)/(I786-G786),(I786-J786)/(G786-I786)))</f>
        <v/>
      </c>
      <c r="O786" s="2" t="str">
        <f aca="false">IF(OR(B786="",K786=""),"",IFERROR(K786-B786,""))</f>
        <v/>
      </c>
      <c r="P786" s="2" t="str">
        <f aca="false">IF(M786="","",IF(M786&gt;0,1,0))</f>
        <v/>
      </c>
    </row>
    <row r="787" customFormat="false" ht="15" hidden="false" customHeight="false" outlineLevel="0" collapsed="false">
      <c r="M787" s="24" t="str">
        <f aca="false">IF(OR(I787="",J787=""),"",IF(E787="Buy",(J787-I787)/I787,(I787-J787)/I787))</f>
        <v/>
      </c>
      <c r="N787" s="25" t="str">
        <f aca="false">IF(OR(I787="",J787="",I787=G787),"",IF(E787="Buy",(J787-I787)/(I787-G787),(I787-J787)/(G787-I787)))</f>
        <v/>
      </c>
      <c r="O787" s="2" t="str">
        <f aca="false">IF(OR(B787="",K787=""),"",IFERROR(K787-B787,""))</f>
        <v/>
      </c>
      <c r="P787" s="2" t="str">
        <f aca="false">IF(M787="","",IF(M787&gt;0,1,0))</f>
        <v/>
      </c>
    </row>
    <row r="788" customFormat="false" ht="15" hidden="false" customHeight="false" outlineLevel="0" collapsed="false">
      <c r="M788" s="24" t="str">
        <f aca="false">IF(OR(I788="",J788=""),"",IF(E788="Buy",(J788-I788)/I788,(I788-J788)/I788))</f>
        <v/>
      </c>
      <c r="N788" s="25" t="str">
        <f aca="false">IF(OR(I788="",J788="",I788=G788),"",IF(E788="Buy",(J788-I788)/(I788-G788),(I788-J788)/(G788-I788)))</f>
        <v/>
      </c>
      <c r="O788" s="2" t="str">
        <f aca="false">IF(OR(B788="",K788=""),"",IFERROR(K788-B788,""))</f>
        <v/>
      </c>
      <c r="P788" s="2" t="str">
        <f aca="false">IF(M788="","",IF(M788&gt;0,1,0))</f>
        <v/>
      </c>
    </row>
    <row r="789" customFormat="false" ht="15" hidden="false" customHeight="false" outlineLevel="0" collapsed="false">
      <c r="M789" s="24" t="str">
        <f aca="false">IF(OR(I789="",J789=""),"",IF(E789="Buy",(J789-I789)/I789,(I789-J789)/I789))</f>
        <v/>
      </c>
      <c r="N789" s="25" t="str">
        <f aca="false">IF(OR(I789="",J789="",I789=G789),"",IF(E789="Buy",(J789-I789)/(I789-G789),(I789-J789)/(G789-I789)))</f>
        <v/>
      </c>
      <c r="O789" s="2" t="str">
        <f aca="false">IF(OR(B789="",K789=""),"",IFERROR(K789-B789,""))</f>
        <v/>
      </c>
      <c r="P789" s="2" t="str">
        <f aca="false">IF(M789="","",IF(M789&gt;0,1,0))</f>
        <v/>
      </c>
    </row>
    <row r="790" customFormat="false" ht="15" hidden="false" customHeight="false" outlineLevel="0" collapsed="false">
      <c r="M790" s="24" t="str">
        <f aca="false">IF(OR(I790="",J790=""),"",IF(E790="Buy",(J790-I790)/I790,(I790-J790)/I790))</f>
        <v/>
      </c>
      <c r="N790" s="25" t="str">
        <f aca="false">IF(OR(I790="",J790="",I790=G790),"",IF(E790="Buy",(J790-I790)/(I790-G790),(I790-J790)/(G790-I790)))</f>
        <v/>
      </c>
      <c r="O790" s="2" t="str">
        <f aca="false">IF(OR(B790="",K790=""),"",IFERROR(K790-B790,""))</f>
        <v/>
      </c>
      <c r="P790" s="2" t="str">
        <f aca="false">IF(M790="","",IF(M790&gt;0,1,0))</f>
        <v/>
      </c>
    </row>
    <row r="791" customFormat="false" ht="15" hidden="false" customHeight="false" outlineLevel="0" collapsed="false">
      <c r="M791" s="24" t="str">
        <f aca="false">IF(OR(I791="",J791=""),"",IF(E791="Buy",(J791-I791)/I791,(I791-J791)/I791))</f>
        <v/>
      </c>
      <c r="N791" s="25" t="str">
        <f aca="false">IF(OR(I791="",J791="",I791=G791),"",IF(E791="Buy",(J791-I791)/(I791-G791),(I791-J791)/(G791-I791)))</f>
        <v/>
      </c>
      <c r="O791" s="2" t="str">
        <f aca="false">IF(OR(B791="",K791=""),"",IFERROR(K791-B791,""))</f>
        <v/>
      </c>
      <c r="P791" s="2" t="str">
        <f aca="false">IF(M791="","",IF(M791&gt;0,1,0))</f>
        <v/>
      </c>
    </row>
    <row r="792" customFormat="false" ht="15" hidden="false" customHeight="false" outlineLevel="0" collapsed="false">
      <c r="M792" s="24" t="str">
        <f aca="false">IF(OR(I792="",J792=""),"",IF(E792="Buy",(J792-I792)/I792,(I792-J792)/I792))</f>
        <v/>
      </c>
      <c r="N792" s="25" t="str">
        <f aca="false">IF(OR(I792="",J792="",I792=G792),"",IF(E792="Buy",(J792-I792)/(I792-G792),(I792-J792)/(G792-I792)))</f>
        <v/>
      </c>
      <c r="O792" s="2" t="str">
        <f aca="false">IF(OR(B792="",K792=""),"",IFERROR(K792-B792,""))</f>
        <v/>
      </c>
      <c r="P792" s="2" t="str">
        <f aca="false">IF(M792="","",IF(M792&gt;0,1,0))</f>
        <v/>
      </c>
    </row>
    <row r="793" customFormat="false" ht="15" hidden="false" customHeight="false" outlineLevel="0" collapsed="false">
      <c r="M793" s="24" t="str">
        <f aca="false">IF(OR(I793="",J793=""),"",IF(E793="Buy",(J793-I793)/I793,(I793-J793)/I793))</f>
        <v/>
      </c>
      <c r="N793" s="25" t="str">
        <f aca="false">IF(OR(I793="",J793="",I793=G793),"",IF(E793="Buy",(J793-I793)/(I793-G793),(I793-J793)/(G793-I793)))</f>
        <v/>
      </c>
      <c r="O793" s="2" t="str">
        <f aca="false">IF(OR(B793="",K793=""),"",IFERROR(K793-B793,""))</f>
        <v/>
      </c>
      <c r="P793" s="2" t="str">
        <f aca="false">IF(M793="","",IF(M793&gt;0,1,0))</f>
        <v/>
      </c>
    </row>
    <row r="794" customFormat="false" ht="15" hidden="false" customHeight="false" outlineLevel="0" collapsed="false">
      <c r="M794" s="24" t="str">
        <f aca="false">IF(OR(I794="",J794=""),"",IF(E794="Buy",(J794-I794)/I794,(I794-J794)/I794))</f>
        <v/>
      </c>
      <c r="N794" s="25" t="str">
        <f aca="false">IF(OR(I794="",J794="",I794=G794),"",IF(E794="Buy",(J794-I794)/(I794-G794),(I794-J794)/(G794-I794)))</f>
        <v/>
      </c>
      <c r="O794" s="2" t="str">
        <f aca="false">IF(OR(B794="",K794=""),"",IFERROR(K794-B794,""))</f>
        <v/>
      </c>
      <c r="P794" s="2" t="str">
        <f aca="false">IF(M794="","",IF(M794&gt;0,1,0))</f>
        <v/>
      </c>
    </row>
    <row r="795" customFormat="false" ht="15" hidden="false" customHeight="false" outlineLevel="0" collapsed="false">
      <c r="M795" s="24" t="str">
        <f aca="false">IF(OR(I795="",J795=""),"",IF(E795="Buy",(J795-I795)/I795,(I795-J795)/I795))</f>
        <v/>
      </c>
      <c r="N795" s="25" t="str">
        <f aca="false">IF(OR(I795="",J795="",I795=G795),"",IF(E795="Buy",(J795-I795)/(I795-G795),(I795-J795)/(G795-I795)))</f>
        <v/>
      </c>
      <c r="O795" s="2" t="str">
        <f aca="false">IF(OR(B795="",K795=""),"",IFERROR(K795-B795,""))</f>
        <v/>
      </c>
      <c r="P795" s="2" t="str">
        <f aca="false">IF(M795="","",IF(M795&gt;0,1,0))</f>
        <v/>
      </c>
    </row>
    <row r="796" customFormat="false" ht="15" hidden="false" customHeight="false" outlineLevel="0" collapsed="false">
      <c r="M796" s="24" t="str">
        <f aca="false">IF(OR(I796="",J796=""),"",IF(E796="Buy",(J796-I796)/I796,(I796-J796)/I796))</f>
        <v/>
      </c>
      <c r="N796" s="25" t="str">
        <f aca="false">IF(OR(I796="",J796="",I796=G796),"",IF(E796="Buy",(J796-I796)/(I796-G796),(I796-J796)/(G796-I796)))</f>
        <v/>
      </c>
      <c r="O796" s="2" t="str">
        <f aca="false">IF(OR(B796="",K796=""),"",IFERROR(K796-B796,""))</f>
        <v/>
      </c>
      <c r="P796" s="2" t="str">
        <f aca="false">IF(M796="","",IF(M796&gt;0,1,0))</f>
        <v/>
      </c>
    </row>
    <row r="797" customFormat="false" ht="15" hidden="false" customHeight="false" outlineLevel="0" collapsed="false">
      <c r="M797" s="24" t="str">
        <f aca="false">IF(OR(I797="",J797=""),"",IF(E797="Buy",(J797-I797)/I797,(I797-J797)/I797))</f>
        <v/>
      </c>
      <c r="N797" s="25" t="str">
        <f aca="false">IF(OR(I797="",J797="",I797=G797),"",IF(E797="Buy",(J797-I797)/(I797-G797),(I797-J797)/(G797-I797)))</f>
        <v/>
      </c>
      <c r="O797" s="2" t="str">
        <f aca="false">IF(OR(B797="",K797=""),"",IFERROR(K797-B797,""))</f>
        <v/>
      </c>
      <c r="P797" s="2" t="str">
        <f aca="false">IF(M797="","",IF(M797&gt;0,1,0))</f>
        <v/>
      </c>
    </row>
    <row r="798" customFormat="false" ht="15" hidden="false" customHeight="false" outlineLevel="0" collapsed="false">
      <c r="M798" s="24" t="str">
        <f aca="false">IF(OR(I798="",J798=""),"",IF(E798="Buy",(J798-I798)/I798,(I798-J798)/I798))</f>
        <v/>
      </c>
      <c r="N798" s="25" t="str">
        <f aca="false">IF(OR(I798="",J798="",I798=G798),"",IF(E798="Buy",(J798-I798)/(I798-G798),(I798-J798)/(G798-I798)))</f>
        <v/>
      </c>
      <c r="O798" s="2" t="str">
        <f aca="false">IF(OR(B798="",K798=""),"",IFERROR(K798-B798,""))</f>
        <v/>
      </c>
      <c r="P798" s="2" t="str">
        <f aca="false">IF(M798="","",IF(M798&gt;0,1,0))</f>
        <v/>
      </c>
    </row>
    <row r="799" customFormat="false" ht="15" hidden="false" customHeight="false" outlineLevel="0" collapsed="false">
      <c r="M799" s="24" t="str">
        <f aca="false">IF(OR(I799="",J799=""),"",IF(E799="Buy",(J799-I799)/I799,(I799-J799)/I799))</f>
        <v/>
      </c>
      <c r="N799" s="25" t="str">
        <f aca="false">IF(OR(I799="",J799="",I799=G799),"",IF(E799="Buy",(J799-I799)/(I799-G799),(I799-J799)/(G799-I799)))</f>
        <v/>
      </c>
      <c r="O799" s="2" t="str">
        <f aca="false">IF(OR(B799="",K799=""),"",IFERROR(K799-B799,""))</f>
        <v/>
      </c>
      <c r="P799" s="2" t="str">
        <f aca="false">IF(M799="","",IF(M799&gt;0,1,0))</f>
        <v/>
      </c>
    </row>
    <row r="800" customFormat="false" ht="15" hidden="false" customHeight="false" outlineLevel="0" collapsed="false">
      <c r="M800" s="24" t="str">
        <f aca="false">IF(OR(I800="",J800=""),"",IF(E800="Buy",(J800-I800)/I800,(I800-J800)/I800))</f>
        <v/>
      </c>
      <c r="N800" s="25" t="str">
        <f aca="false">IF(OR(I800="",J800="",I800=G800),"",IF(E800="Buy",(J800-I800)/(I800-G800),(I800-J800)/(G800-I800)))</f>
        <v/>
      </c>
      <c r="O800" s="2" t="str">
        <f aca="false">IF(OR(B800="",K800=""),"",IFERROR(K800-B800,""))</f>
        <v/>
      </c>
      <c r="P800" s="2" t="str">
        <f aca="false">IF(M800="","",IF(M800&gt;0,1,0))</f>
        <v/>
      </c>
    </row>
    <row r="801" customFormat="false" ht="15" hidden="false" customHeight="false" outlineLevel="0" collapsed="false">
      <c r="M801" s="24" t="str">
        <f aca="false">IF(OR(I801="",J801=""),"",IF(E801="Buy",(J801-I801)/I801,(I801-J801)/I801))</f>
        <v/>
      </c>
      <c r="N801" s="25" t="str">
        <f aca="false">IF(OR(I801="",J801="",I801=G801),"",IF(E801="Buy",(J801-I801)/(I801-G801),(I801-J801)/(G801-I801)))</f>
        <v/>
      </c>
      <c r="O801" s="2" t="str">
        <f aca="false">IF(OR(B801="",K801=""),"",IFERROR(K801-B801,""))</f>
        <v/>
      </c>
      <c r="P801" s="2" t="str">
        <f aca="false">IF(M801="","",IF(M801&gt;0,1,0))</f>
        <v/>
      </c>
    </row>
    <row r="802" customFormat="false" ht="15" hidden="false" customHeight="false" outlineLevel="0" collapsed="false">
      <c r="M802" s="24" t="str">
        <f aca="false">IF(OR(I802="",J802=""),"",IF(E802="Buy",(J802-I802)/I802,(I802-J802)/I802))</f>
        <v/>
      </c>
      <c r="N802" s="25" t="str">
        <f aca="false">IF(OR(I802="",J802="",I802=G802),"",IF(E802="Buy",(J802-I802)/(I802-G802),(I802-J802)/(G802-I802)))</f>
        <v/>
      </c>
      <c r="O802" s="2" t="str">
        <f aca="false">IF(OR(B802="",K802=""),"",IFERROR(K802-B802,""))</f>
        <v/>
      </c>
      <c r="P802" s="2" t="str">
        <f aca="false">IF(M802="","",IF(M802&gt;0,1,0))</f>
        <v/>
      </c>
    </row>
    <row r="803" customFormat="false" ht="15" hidden="false" customHeight="false" outlineLevel="0" collapsed="false">
      <c r="M803" s="24" t="str">
        <f aca="false">IF(OR(I803="",J803=""),"",IF(E803="Buy",(J803-I803)/I803,(I803-J803)/I803))</f>
        <v/>
      </c>
      <c r="N803" s="25" t="str">
        <f aca="false">IF(OR(I803="",J803="",I803=G803),"",IF(E803="Buy",(J803-I803)/(I803-G803),(I803-J803)/(G803-I803)))</f>
        <v/>
      </c>
      <c r="O803" s="2" t="str">
        <f aca="false">IF(OR(B803="",K803=""),"",IFERROR(K803-B803,""))</f>
        <v/>
      </c>
      <c r="P803" s="2" t="str">
        <f aca="false">IF(M803="","",IF(M803&gt;0,1,0))</f>
        <v/>
      </c>
    </row>
    <row r="804" customFormat="false" ht="15" hidden="false" customHeight="false" outlineLevel="0" collapsed="false">
      <c r="M804" s="24" t="str">
        <f aca="false">IF(OR(I804="",J804=""),"",IF(E804="Buy",(J804-I804)/I804,(I804-J804)/I804))</f>
        <v/>
      </c>
      <c r="N804" s="25" t="str">
        <f aca="false">IF(OR(I804="",J804="",I804=G804),"",IF(E804="Buy",(J804-I804)/(I804-G804),(I804-J804)/(G804-I804)))</f>
        <v/>
      </c>
      <c r="O804" s="2" t="str">
        <f aca="false">IF(OR(B804="",K804=""),"",IFERROR(K804-B804,""))</f>
        <v/>
      </c>
      <c r="P804" s="2" t="str">
        <f aca="false">IF(M804="","",IF(M804&gt;0,1,0))</f>
        <v/>
      </c>
    </row>
    <row r="805" customFormat="false" ht="15" hidden="false" customHeight="false" outlineLevel="0" collapsed="false">
      <c r="M805" s="24" t="str">
        <f aca="false">IF(OR(I805="",J805=""),"",IF(E805="Buy",(J805-I805)/I805,(I805-J805)/I805))</f>
        <v/>
      </c>
      <c r="N805" s="25" t="str">
        <f aca="false">IF(OR(I805="",J805="",I805=G805),"",IF(E805="Buy",(J805-I805)/(I805-G805),(I805-J805)/(G805-I805)))</f>
        <v/>
      </c>
      <c r="O805" s="2" t="str">
        <f aca="false">IF(OR(B805="",K805=""),"",IFERROR(K805-B805,""))</f>
        <v/>
      </c>
      <c r="P805" s="2" t="str">
        <f aca="false">IF(M805="","",IF(M805&gt;0,1,0))</f>
        <v/>
      </c>
    </row>
    <row r="806" customFormat="false" ht="15" hidden="false" customHeight="false" outlineLevel="0" collapsed="false">
      <c r="M806" s="24" t="str">
        <f aca="false">IF(OR(I806="",J806=""),"",IF(E806="Buy",(J806-I806)/I806,(I806-J806)/I806))</f>
        <v/>
      </c>
      <c r="N806" s="25" t="str">
        <f aca="false">IF(OR(I806="",J806="",I806=G806),"",IF(E806="Buy",(J806-I806)/(I806-G806),(I806-J806)/(G806-I806)))</f>
        <v/>
      </c>
      <c r="O806" s="2" t="str">
        <f aca="false">IF(OR(B806="",K806=""),"",IFERROR(K806-B806,""))</f>
        <v/>
      </c>
      <c r="P806" s="2" t="str">
        <f aca="false">IF(M806="","",IF(M806&gt;0,1,0))</f>
        <v/>
      </c>
    </row>
    <row r="807" customFormat="false" ht="15" hidden="false" customHeight="false" outlineLevel="0" collapsed="false">
      <c r="M807" s="24" t="str">
        <f aca="false">IF(OR(I807="",J807=""),"",IF(E807="Buy",(J807-I807)/I807,(I807-J807)/I807))</f>
        <v/>
      </c>
      <c r="N807" s="25" t="str">
        <f aca="false">IF(OR(I807="",J807="",I807=G807),"",IF(E807="Buy",(J807-I807)/(I807-G807),(I807-J807)/(G807-I807)))</f>
        <v/>
      </c>
      <c r="O807" s="2" t="str">
        <f aca="false">IF(OR(B807="",K807=""),"",IFERROR(K807-B807,""))</f>
        <v/>
      </c>
      <c r="P807" s="2" t="str">
        <f aca="false">IF(M807="","",IF(M807&gt;0,1,0))</f>
        <v/>
      </c>
    </row>
    <row r="808" customFormat="false" ht="15" hidden="false" customHeight="false" outlineLevel="0" collapsed="false">
      <c r="M808" s="24" t="str">
        <f aca="false">IF(OR(I808="",J808=""),"",IF(E808="Buy",(J808-I808)/I808,(I808-J808)/I808))</f>
        <v/>
      </c>
      <c r="N808" s="25" t="str">
        <f aca="false">IF(OR(I808="",J808="",I808=G808),"",IF(E808="Buy",(J808-I808)/(I808-G808),(I808-J808)/(G808-I808)))</f>
        <v/>
      </c>
      <c r="O808" s="2" t="str">
        <f aca="false">IF(OR(B808="",K808=""),"",IFERROR(K808-B808,""))</f>
        <v/>
      </c>
      <c r="P808" s="2" t="str">
        <f aca="false">IF(M808="","",IF(M808&gt;0,1,0))</f>
        <v/>
      </c>
    </row>
    <row r="809" customFormat="false" ht="15" hidden="false" customHeight="false" outlineLevel="0" collapsed="false">
      <c r="M809" s="24" t="str">
        <f aca="false">IF(OR(I809="",J809=""),"",IF(E809="Buy",(J809-I809)/I809,(I809-J809)/I809))</f>
        <v/>
      </c>
      <c r="N809" s="25" t="str">
        <f aca="false">IF(OR(I809="",J809="",I809=G809),"",IF(E809="Buy",(J809-I809)/(I809-G809),(I809-J809)/(G809-I809)))</f>
        <v/>
      </c>
      <c r="O809" s="2" t="str">
        <f aca="false">IF(OR(B809="",K809=""),"",IFERROR(K809-B809,""))</f>
        <v/>
      </c>
      <c r="P809" s="2" t="str">
        <f aca="false">IF(M809="","",IF(M809&gt;0,1,0))</f>
        <v/>
      </c>
    </row>
    <row r="810" customFormat="false" ht="15" hidden="false" customHeight="false" outlineLevel="0" collapsed="false">
      <c r="M810" s="24" t="str">
        <f aca="false">IF(OR(I810="",J810=""),"",IF(E810="Buy",(J810-I810)/I810,(I810-J810)/I810))</f>
        <v/>
      </c>
      <c r="N810" s="25" t="str">
        <f aca="false">IF(OR(I810="",J810="",I810=G810),"",IF(E810="Buy",(J810-I810)/(I810-G810),(I810-J810)/(G810-I810)))</f>
        <v/>
      </c>
      <c r="O810" s="2" t="str">
        <f aca="false">IF(OR(B810="",K810=""),"",IFERROR(K810-B810,""))</f>
        <v/>
      </c>
      <c r="P810" s="2" t="str">
        <f aca="false">IF(M810="","",IF(M810&gt;0,1,0))</f>
        <v/>
      </c>
    </row>
    <row r="811" customFormat="false" ht="15" hidden="false" customHeight="false" outlineLevel="0" collapsed="false">
      <c r="M811" s="24" t="str">
        <f aca="false">IF(OR(I811="",J811=""),"",IF(E811="Buy",(J811-I811)/I811,(I811-J811)/I811))</f>
        <v/>
      </c>
      <c r="N811" s="25" t="str">
        <f aca="false">IF(OR(I811="",J811="",I811=G811),"",IF(E811="Buy",(J811-I811)/(I811-G811),(I811-J811)/(G811-I811)))</f>
        <v/>
      </c>
      <c r="O811" s="2" t="str">
        <f aca="false">IF(OR(B811="",K811=""),"",IFERROR(K811-B811,""))</f>
        <v/>
      </c>
      <c r="P811" s="2" t="str">
        <f aca="false">IF(M811="","",IF(M811&gt;0,1,0))</f>
        <v/>
      </c>
    </row>
    <row r="812" customFormat="false" ht="15" hidden="false" customHeight="false" outlineLevel="0" collapsed="false">
      <c r="M812" s="24" t="str">
        <f aca="false">IF(OR(I812="",J812=""),"",IF(E812="Buy",(J812-I812)/I812,(I812-J812)/I812))</f>
        <v/>
      </c>
      <c r="N812" s="25" t="str">
        <f aca="false">IF(OR(I812="",J812="",I812=G812),"",IF(E812="Buy",(J812-I812)/(I812-G812),(I812-J812)/(G812-I812)))</f>
        <v/>
      </c>
      <c r="O812" s="2" t="str">
        <f aca="false">IF(OR(B812="",K812=""),"",IFERROR(K812-B812,""))</f>
        <v/>
      </c>
      <c r="P812" s="2" t="str">
        <f aca="false">IF(M812="","",IF(M812&gt;0,1,0))</f>
        <v/>
      </c>
    </row>
    <row r="813" customFormat="false" ht="15" hidden="false" customHeight="false" outlineLevel="0" collapsed="false">
      <c r="M813" s="24" t="str">
        <f aca="false">IF(OR(I813="",J813=""),"",IF(E813="Buy",(J813-I813)/I813,(I813-J813)/I813))</f>
        <v/>
      </c>
      <c r="N813" s="25" t="str">
        <f aca="false">IF(OR(I813="",J813="",I813=G813),"",IF(E813="Buy",(J813-I813)/(I813-G813),(I813-J813)/(G813-I813)))</f>
        <v/>
      </c>
      <c r="O813" s="2" t="str">
        <f aca="false">IF(OR(B813="",K813=""),"",IFERROR(K813-B813,""))</f>
        <v/>
      </c>
      <c r="P813" s="2" t="str">
        <f aca="false">IF(M813="","",IF(M813&gt;0,1,0))</f>
        <v/>
      </c>
    </row>
    <row r="814" customFormat="false" ht="15" hidden="false" customHeight="false" outlineLevel="0" collapsed="false">
      <c r="M814" s="24" t="str">
        <f aca="false">IF(OR(I814="",J814=""),"",IF(E814="Buy",(J814-I814)/I814,(I814-J814)/I814))</f>
        <v/>
      </c>
      <c r="N814" s="25" t="str">
        <f aca="false">IF(OR(I814="",J814="",I814=G814),"",IF(E814="Buy",(J814-I814)/(I814-G814),(I814-J814)/(G814-I814)))</f>
        <v/>
      </c>
      <c r="O814" s="2" t="str">
        <f aca="false">IF(OR(B814="",K814=""),"",IFERROR(K814-B814,""))</f>
        <v/>
      </c>
      <c r="P814" s="2" t="str">
        <f aca="false">IF(M814="","",IF(M814&gt;0,1,0))</f>
        <v/>
      </c>
    </row>
    <row r="815" customFormat="false" ht="15" hidden="false" customHeight="false" outlineLevel="0" collapsed="false">
      <c r="M815" s="24" t="str">
        <f aca="false">IF(OR(I815="",J815=""),"",IF(E815="Buy",(J815-I815)/I815,(I815-J815)/I815))</f>
        <v/>
      </c>
      <c r="N815" s="25" t="str">
        <f aca="false">IF(OR(I815="",J815="",I815=G815),"",IF(E815="Buy",(J815-I815)/(I815-G815),(I815-J815)/(G815-I815)))</f>
        <v/>
      </c>
      <c r="O815" s="2" t="str">
        <f aca="false">IF(OR(B815="",K815=""),"",IFERROR(K815-B815,""))</f>
        <v/>
      </c>
      <c r="P815" s="2" t="str">
        <f aca="false">IF(M815="","",IF(M815&gt;0,1,0))</f>
        <v/>
      </c>
    </row>
    <row r="816" customFormat="false" ht="15" hidden="false" customHeight="false" outlineLevel="0" collapsed="false">
      <c r="M816" s="24" t="str">
        <f aca="false">IF(OR(I816="",J816=""),"",IF(E816="Buy",(J816-I816)/I816,(I816-J816)/I816))</f>
        <v/>
      </c>
      <c r="N816" s="25" t="str">
        <f aca="false">IF(OR(I816="",J816="",I816=G816),"",IF(E816="Buy",(J816-I816)/(I816-G816),(I816-J816)/(G816-I816)))</f>
        <v/>
      </c>
      <c r="O816" s="2" t="str">
        <f aca="false">IF(OR(B816="",K816=""),"",IFERROR(K816-B816,""))</f>
        <v/>
      </c>
      <c r="P816" s="2" t="str">
        <f aca="false">IF(M816="","",IF(M816&gt;0,1,0))</f>
        <v/>
      </c>
    </row>
    <row r="817" customFormat="false" ht="15" hidden="false" customHeight="false" outlineLevel="0" collapsed="false">
      <c r="M817" s="24" t="str">
        <f aca="false">IF(OR(I817="",J817=""),"",IF(E817="Buy",(J817-I817)/I817,(I817-J817)/I817))</f>
        <v/>
      </c>
      <c r="N817" s="25" t="str">
        <f aca="false">IF(OR(I817="",J817="",I817=G817),"",IF(E817="Buy",(J817-I817)/(I817-G817),(I817-J817)/(G817-I817)))</f>
        <v/>
      </c>
      <c r="O817" s="2" t="str">
        <f aca="false">IF(OR(B817="",K817=""),"",IFERROR(K817-B817,""))</f>
        <v/>
      </c>
      <c r="P817" s="2" t="str">
        <f aca="false">IF(M817="","",IF(M817&gt;0,1,0))</f>
        <v/>
      </c>
    </row>
    <row r="818" customFormat="false" ht="15" hidden="false" customHeight="false" outlineLevel="0" collapsed="false">
      <c r="M818" s="24" t="str">
        <f aca="false">IF(OR(I818="",J818=""),"",IF(E818="Buy",(J818-I818)/I818,(I818-J818)/I818))</f>
        <v/>
      </c>
      <c r="N818" s="25" t="str">
        <f aca="false">IF(OR(I818="",J818="",I818=G818),"",IF(E818="Buy",(J818-I818)/(I818-G818),(I818-J818)/(G818-I818)))</f>
        <v/>
      </c>
      <c r="O818" s="2" t="str">
        <f aca="false">IF(OR(B818="",K818=""),"",IFERROR(K818-B818,""))</f>
        <v/>
      </c>
      <c r="P818" s="2" t="str">
        <f aca="false">IF(M818="","",IF(M818&gt;0,1,0))</f>
        <v/>
      </c>
    </row>
    <row r="819" customFormat="false" ht="15" hidden="false" customHeight="false" outlineLevel="0" collapsed="false">
      <c r="M819" s="24" t="str">
        <f aca="false">IF(OR(I819="",J819=""),"",IF(E819="Buy",(J819-I819)/I819,(I819-J819)/I819))</f>
        <v/>
      </c>
      <c r="N819" s="25" t="str">
        <f aca="false">IF(OR(I819="",J819="",I819=G819),"",IF(E819="Buy",(J819-I819)/(I819-G819),(I819-J819)/(G819-I819)))</f>
        <v/>
      </c>
      <c r="O819" s="2" t="str">
        <f aca="false">IF(OR(B819="",K819=""),"",IFERROR(K819-B819,""))</f>
        <v/>
      </c>
      <c r="P819" s="2" t="str">
        <f aca="false">IF(M819="","",IF(M819&gt;0,1,0))</f>
        <v/>
      </c>
    </row>
    <row r="820" customFormat="false" ht="15" hidden="false" customHeight="false" outlineLevel="0" collapsed="false">
      <c r="M820" s="24" t="str">
        <f aca="false">IF(OR(I820="",J820=""),"",IF(E820="Buy",(J820-I820)/I820,(I820-J820)/I820))</f>
        <v/>
      </c>
      <c r="N820" s="25" t="str">
        <f aca="false">IF(OR(I820="",J820="",I820=G820),"",IF(E820="Buy",(J820-I820)/(I820-G820),(I820-J820)/(G820-I820)))</f>
        <v/>
      </c>
      <c r="O820" s="2" t="str">
        <f aca="false">IF(OR(B820="",K820=""),"",IFERROR(K820-B820,""))</f>
        <v/>
      </c>
      <c r="P820" s="2" t="str">
        <f aca="false">IF(M820="","",IF(M820&gt;0,1,0))</f>
        <v/>
      </c>
    </row>
    <row r="821" customFormat="false" ht="15" hidden="false" customHeight="false" outlineLevel="0" collapsed="false">
      <c r="M821" s="24" t="str">
        <f aca="false">IF(OR(I821="",J821=""),"",IF(E821="Buy",(J821-I821)/I821,(I821-J821)/I821))</f>
        <v/>
      </c>
      <c r="N821" s="25" t="str">
        <f aca="false">IF(OR(I821="",J821="",I821=G821),"",IF(E821="Buy",(J821-I821)/(I821-G821),(I821-J821)/(G821-I821)))</f>
        <v/>
      </c>
      <c r="O821" s="2" t="str">
        <f aca="false">IF(OR(B821="",K821=""),"",IFERROR(K821-B821,""))</f>
        <v/>
      </c>
      <c r="P821" s="2" t="str">
        <f aca="false">IF(M821="","",IF(M821&gt;0,1,0))</f>
        <v/>
      </c>
    </row>
    <row r="822" customFormat="false" ht="15" hidden="false" customHeight="false" outlineLevel="0" collapsed="false">
      <c r="M822" s="24" t="str">
        <f aca="false">IF(OR(I822="",J822=""),"",IF(E822="Buy",(J822-I822)/I822,(I822-J822)/I822))</f>
        <v/>
      </c>
      <c r="N822" s="25" t="str">
        <f aca="false">IF(OR(I822="",J822="",I822=G822),"",IF(E822="Buy",(J822-I822)/(I822-G822),(I822-J822)/(G822-I822)))</f>
        <v/>
      </c>
      <c r="O822" s="2" t="str">
        <f aca="false">IF(OR(B822="",K822=""),"",IFERROR(K822-B822,""))</f>
        <v/>
      </c>
      <c r="P822" s="2" t="str">
        <f aca="false">IF(M822="","",IF(M822&gt;0,1,0))</f>
        <v/>
      </c>
    </row>
    <row r="823" customFormat="false" ht="15" hidden="false" customHeight="false" outlineLevel="0" collapsed="false">
      <c r="M823" s="24" t="str">
        <f aca="false">IF(OR(I823="",J823=""),"",IF(E823="Buy",(J823-I823)/I823,(I823-J823)/I823))</f>
        <v/>
      </c>
      <c r="N823" s="25" t="str">
        <f aca="false">IF(OR(I823="",J823="",I823=G823),"",IF(E823="Buy",(J823-I823)/(I823-G823),(I823-J823)/(G823-I823)))</f>
        <v/>
      </c>
      <c r="O823" s="2" t="str">
        <f aca="false">IF(OR(B823="",K823=""),"",IFERROR(K823-B823,""))</f>
        <v/>
      </c>
      <c r="P823" s="2" t="str">
        <f aca="false">IF(M823="","",IF(M823&gt;0,1,0))</f>
        <v/>
      </c>
    </row>
    <row r="824" customFormat="false" ht="15" hidden="false" customHeight="false" outlineLevel="0" collapsed="false">
      <c r="M824" s="24" t="str">
        <f aca="false">IF(OR(I824="",J824=""),"",IF(E824="Buy",(J824-I824)/I824,(I824-J824)/I824))</f>
        <v/>
      </c>
      <c r="N824" s="25" t="str">
        <f aca="false">IF(OR(I824="",J824="",I824=G824),"",IF(E824="Buy",(J824-I824)/(I824-G824),(I824-J824)/(G824-I824)))</f>
        <v/>
      </c>
      <c r="O824" s="2" t="str">
        <f aca="false">IF(OR(B824="",K824=""),"",IFERROR(K824-B824,""))</f>
        <v/>
      </c>
      <c r="P824" s="2" t="str">
        <f aca="false">IF(M824="","",IF(M824&gt;0,1,0))</f>
        <v/>
      </c>
    </row>
    <row r="825" customFormat="false" ht="15" hidden="false" customHeight="false" outlineLevel="0" collapsed="false">
      <c r="M825" s="24" t="str">
        <f aca="false">IF(OR(I825="",J825=""),"",IF(E825="Buy",(J825-I825)/I825,(I825-J825)/I825))</f>
        <v/>
      </c>
      <c r="N825" s="25" t="str">
        <f aca="false">IF(OR(I825="",J825="",I825=G825),"",IF(E825="Buy",(J825-I825)/(I825-G825),(I825-J825)/(G825-I825)))</f>
        <v/>
      </c>
      <c r="O825" s="2" t="str">
        <f aca="false">IF(OR(B825="",K825=""),"",IFERROR(K825-B825,""))</f>
        <v/>
      </c>
      <c r="P825" s="2" t="str">
        <f aca="false">IF(M825="","",IF(M825&gt;0,1,0))</f>
        <v/>
      </c>
    </row>
    <row r="826" customFormat="false" ht="15" hidden="false" customHeight="false" outlineLevel="0" collapsed="false">
      <c r="M826" s="24" t="str">
        <f aca="false">IF(OR(I826="",J826=""),"",IF(E826="Buy",(J826-I826)/I826,(I826-J826)/I826))</f>
        <v/>
      </c>
      <c r="N826" s="25" t="str">
        <f aca="false">IF(OR(I826="",J826="",I826=G826),"",IF(E826="Buy",(J826-I826)/(I826-G826),(I826-J826)/(G826-I826)))</f>
        <v/>
      </c>
      <c r="O826" s="2" t="str">
        <f aca="false">IF(OR(B826="",K826=""),"",IFERROR(K826-B826,""))</f>
        <v/>
      </c>
      <c r="P826" s="2" t="str">
        <f aca="false">IF(M826="","",IF(M826&gt;0,1,0))</f>
        <v/>
      </c>
    </row>
    <row r="827" customFormat="false" ht="15" hidden="false" customHeight="false" outlineLevel="0" collapsed="false">
      <c r="M827" s="24" t="str">
        <f aca="false">IF(OR(I827="",J827=""),"",IF(E827="Buy",(J827-I827)/I827,(I827-J827)/I827))</f>
        <v/>
      </c>
      <c r="N827" s="25" t="str">
        <f aca="false">IF(OR(I827="",J827="",I827=G827),"",IF(E827="Buy",(J827-I827)/(I827-G827),(I827-J827)/(G827-I827)))</f>
        <v/>
      </c>
      <c r="O827" s="2" t="str">
        <f aca="false">IF(OR(B827="",K827=""),"",IFERROR(K827-B827,""))</f>
        <v/>
      </c>
      <c r="P827" s="2" t="str">
        <f aca="false">IF(M827="","",IF(M827&gt;0,1,0))</f>
        <v/>
      </c>
    </row>
    <row r="828" customFormat="false" ht="15" hidden="false" customHeight="false" outlineLevel="0" collapsed="false">
      <c r="M828" s="24" t="str">
        <f aca="false">IF(OR(I828="",J828=""),"",IF(E828="Buy",(J828-I828)/I828,(I828-J828)/I828))</f>
        <v/>
      </c>
      <c r="N828" s="25" t="str">
        <f aca="false">IF(OR(I828="",J828="",I828=G828),"",IF(E828="Buy",(J828-I828)/(I828-G828),(I828-J828)/(G828-I828)))</f>
        <v/>
      </c>
      <c r="O828" s="2" t="str">
        <f aca="false">IF(OR(B828="",K828=""),"",IFERROR(K828-B828,""))</f>
        <v/>
      </c>
      <c r="P828" s="2" t="str">
        <f aca="false">IF(M828="","",IF(M828&gt;0,1,0))</f>
        <v/>
      </c>
    </row>
    <row r="829" customFormat="false" ht="15" hidden="false" customHeight="false" outlineLevel="0" collapsed="false">
      <c r="M829" s="24" t="str">
        <f aca="false">IF(OR(I829="",J829=""),"",IF(E829="Buy",(J829-I829)/I829,(I829-J829)/I829))</f>
        <v/>
      </c>
      <c r="N829" s="25" t="str">
        <f aca="false">IF(OR(I829="",J829="",I829=G829),"",IF(E829="Buy",(J829-I829)/(I829-G829),(I829-J829)/(G829-I829)))</f>
        <v/>
      </c>
      <c r="O829" s="2" t="str">
        <f aca="false">IF(OR(B829="",K829=""),"",IFERROR(K829-B829,""))</f>
        <v/>
      </c>
      <c r="P829" s="2" t="str">
        <f aca="false">IF(M829="","",IF(M829&gt;0,1,0))</f>
        <v/>
      </c>
    </row>
    <row r="830" customFormat="false" ht="15" hidden="false" customHeight="false" outlineLevel="0" collapsed="false">
      <c r="M830" s="24" t="str">
        <f aca="false">IF(OR(I830="",J830=""),"",IF(E830="Buy",(J830-I830)/I830,(I830-J830)/I830))</f>
        <v/>
      </c>
      <c r="N830" s="25" t="str">
        <f aca="false">IF(OR(I830="",J830="",I830=G830),"",IF(E830="Buy",(J830-I830)/(I830-G830),(I830-J830)/(G830-I830)))</f>
        <v/>
      </c>
      <c r="O830" s="2" t="str">
        <f aca="false">IF(OR(B830="",K830=""),"",IFERROR(K830-B830,""))</f>
        <v/>
      </c>
      <c r="P830" s="2" t="str">
        <f aca="false">IF(M830="","",IF(M830&gt;0,1,0))</f>
        <v/>
      </c>
    </row>
    <row r="831" customFormat="false" ht="15" hidden="false" customHeight="false" outlineLevel="0" collapsed="false">
      <c r="M831" s="24" t="str">
        <f aca="false">IF(OR(I831="",J831=""),"",IF(E831="Buy",(J831-I831)/I831,(I831-J831)/I831))</f>
        <v/>
      </c>
      <c r="N831" s="25" t="str">
        <f aca="false">IF(OR(I831="",J831="",I831=G831),"",IF(E831="Buy",(J831-I831)/(I831-G831),(I831-J831)/(G831-I831)))</f>
        <v/>
      </c>
      <c r="O831" s="2" t="str">
        <f aca="false">IF(OR(B831="",K831=""),"",IFERROR(K831-B831,""))</f>
        <v/>
      </c>
      <c r="P831" s="2" t="str">
        <f aca="false">IF(M831="","",IF(M831&gt;0,1,0))</f>
        <v/>
      </c>
    </row>
    <row r="832" customFormat="false" ht="15" hidden="false" customHeight="false" outlineLevel="0" collapsed="false">
      <c r="M832" s="24" t="str">
        <f aca="false">IF(OR(I832="",J832=""),"",IF(E832="Buy",(J832-I832)/I832,(I832-J832)/I832))</f>
        <v/>
      </c>
      <c r="N832" s="25" t="str">
        <f aca="false">IF(OR(I832="",J832="",I832=G832),"",IF(E832="Buy",(J832-I832)/(I832-G832),(I832-J832)/(G832-I832)))</f>
        <v/>
      </c>
      <c r="O832" s="2" t="str">
        <f aca="false">IF(OR(B832="",K832=""),"",IFERROR(K832-B832,""))</f>
        <v/>
      </c>
      <c r="P832" s="2" t="str">
        <f aca="false">IF(M832="","",IF(M832&gt;0,1,0))</f>
        <v/>
      </c>
    </row>
    <row r="833" customFormat="false" ht="15" hidden="false" customHeight="false" outlineLevel="0" collapsed="false">
      <c r="M833" s="24" t="str">
        <f aca="false">IF(OR(I833="",J833=""),"",IF(E833="Buy",(J833-I833)/I833,(I833-J833)/I833))</f>
        <v/>
      </c>
      <c r="N833" s="25" t="str">
        <f aca="false">IF(OR(I833="",J833="",I833=G833),"",IF(E833="Buy",(J833-I833)/(I833-G833),(I833-J833)/(G833-I833)))</f>
        <v/>
      </c>
      <c r="O833" s="2" t="str">
        <f aca="false">IF(OR(B833="",K833=""),"",IFERROR(K833-B833,""))</f>
        <v/>
      </c>
      <c r="P833" s="2" t="str">
        <f aca="false">IF(M833="","",IF(M833&gt;0,1,0))</f>
        <v/>
      </c>
    </row>
    <row r="834" customFormat="false" ht="15" hidden="false" customHeight="false" outlineLevel="0" collapsed="false">
      <c r="M834" s="24" t="str">
        <f aca="false">IF(OR(I834="",J834=""),"",IF(E834="Buy",(J834-I834)/I834,(I834-J834)/I834))</f>
        <v/>
      </c>
      <c r="N834" s="25" t="str">
        <f aca="false">IF(OR(I834="",J834="",I834=G834),"",IF(E834="Buy",(J834-I834)/(I834-G834),(I834-J834)/(G834-I834)))</f>
        <v/>
      </c>
      <c r="O834" s="2" t="str">
        <f aca="false">IF(OR(B834="",K834=""),"",IFERROR(K834-B834,""))</f>
        <v/>
      </c>
      <c r="P834" s="2" t="str">
        <f aca="false">IF(M834="","",IF(M834&gt;0,1,0))</f>
        <v/>
      </c>
    </row>
    <row r="835" customFormat="false" ht="15" hidden="false" customHeight="false" outlineLevel="0" collapsed="false">
      <c r="M835" s="24" t="str">
        <f aca="false">IF(OR(I835="",J835=""),"",IF(E835="Buy",(J835-I835)/I835,(I835-J835)/I835))</f>
        <v/>
      </c>
      <c r="N835" s="25" t="str">
        <f aca="false">IF(OR(I835="",J835="",I835=G835),"",IF(E835="Buy",(J835-I835)/(I835-G835),(I835-J835)/(G835-I835)))</f>
        <v/>
      </c>
      <c r="O835" s="2" t="str">
        <f aca="false">IF(OR(B835="",K835=""),"",IFERROR(K835-B835,""))</f>
        <v/>
      </c>
      <c r="P835" s="2" t="str">
        <f aca="false">IF(M835="","",IF(M835&gt;0,1,0))</f>
        <v/>
      </c>
    </row>
    <row r="836" customFormat="false" ht="15" hidden="false" customHeight="false" outlineLevel="0" collapsed="false">
      <c r="M836" s="24" t="str">
        <f aca="false">IF(OR(I836="",J836=""),"",IF(E836="Buy",(J836-I836)/I836,(I836-J836)/I836))</f>
        <v/>
      </c>
      <c r="N836" s="25" t="str">
        <f aca="false">IF(OR(I836="",J836="",I836=G836),"",IF(E836="Buy",(J836-I836)/(I836-G836),(I836-J836)/(G836-I836)))</f>
        <v/>
      </c>
      <c r="O836" s="2" t="str">
        <f aca="false">IF(OR(B836="",K836=""),"",IFERROR(K836-B836,""))</f>
        <v/>
      </c>
      <c r="P836" s="2" t="str">
        <f aca="false">IF(M836="","",IF(M836&gt;0,1,0))</f>
        <v/>
      </c>
    </row>
    <row r="837" customFormat="false" ht="15" hidden="false" customHeight="false" outlineLevel="0" collapsed="false">
      <c r="M837" s="24" t="str">
        <f aca="false">IF(OR(I837="",J837=""),"",IF(E837="Buy",(J837-I837)/I837,(I837-J837)/I837))</f>
        <v/>
      </c>
      <c r="N837" s="25" t="str">
        <f aca="false">IF(OR(I837="",J837="",I837=G837),"",IF(E837="Buy",(J837-I837)/(I837-G837),(I837-J837)/(G837-I837)))</f>
        <v/>
      </c>
      <c r="O837" s="2" t="str">
        <f aca="false">IF(OR(B837="",K837=""),"",IFERROR(K837-B837,""))</f>
        <v/>
      </c>
      <c r="P837" s="2" t="str">
        <f aca="false">IF(M837="","",IF(M837&gt;0,1,0))</f>
        <v/>
      </c>
    </row>
    <row r="838" customFormat="false" ht="15" hidden="false" customHeight="false" outlineLevel="0" collapsed="false">
      <c r="M838" s="24" t="str">
        <f aca="false">IF(OR(I838="",J838=""),"",IF(E838="Buy",(J838-I838)/I838,(I838-J838)/I838))</f>
        <v/>
      </c>
      <c r="N838" s="25" t="str">
        <f aca="false">IF(OR(I838="",J838="",I838=G838),"",IF(E838="Buy",(J838-I838)/(I838-G838),(I838-J838)/(G838-I838)))</f>
        <v/>
      </c>
      <c r="O838" s="2" t="str">
        <f aca="false">IF(OR(B838="",K838=""),"",IFERROR(K838-B838,""))</f>
        <v/>
      </c>
      <c r="P838" s="2" t="str">
        <f aca="false">IF(M838="","",IF(M838&gt;0,1,0))</f>
        <v/>
      </c>
    </row>
    <row r="839" customFormat="false" ht="15" hidden="false" customHeight="false" outlineLevel="0" collapsed="false">
      <c r="M839" s="24" t="str">
        <f aca="false">IF(OR(I839="",J839=""),"",IF(E839="Buy",(J839-I839)/I839,(I839-J839)/I839))</f>
        <v/>
      </c>
      <c r="N839" s="25" t="str">
        <f aca="false">IF(OR(I839="",J839="",I839=G839),"",IF(E839="Buy",(J839-I839)/(I839-G839),(I839-J839)/(G839-I839)))</f>
        <v/>
      </c>
      <c r="O839" s="2" t="str">
        <f aca="false">IF(OR(B839="",K839=""),"",IFERROR(K839-B839,""))</f>
        <v/>
      </c>
      <c r="P839" s="2" t="str">
        <f aca="false">IF(M839="","",IF(M839&gt;0,1,0))</f>
        <v/>
      </c>
    </row>
    <row r="840" customFormat="false" ht="15" hidden="false" customHeight="false" outlineLevel="0" collapsed="false">
      <c r="M840" s="24" t="str">
        <f aca="false">IF(OR(I840="",J840=""),"",IF(E840="Buy",(J840-I840)/I840,(I840-J840)/I840))</f>
        <v/>
      </c>
      <c r="N840" s="25" t="str">
        <f aca="false">IF(OR(I840="",J840="",I840=G840),"",IF(E840="Buy",(J840-I840)/(I840-G840),(I840-J840)/(G840-I840)))</f>
        <v/>
      </c>
      <c r="O840" s="2" t="str">
        <f aca="false">IF(OR(B840="",K840=""),"",IFERROR(K840-B840,""))</f>
        <v/>
      </c>
      <c r="P840" s="2" t="str">
        <f aca="false">IF(M840="","",IF(M840&gt;0,1,0))</f>
        <v/>
      </c>
    </row>
    <row r="841" customFormat="false" ht="15" hidden="false" customHeight="false" outlineLevel="0" collapsed="false">
      <c r="M841" s="24" t="str">
        <f aca="false">IF(OR(I841="",J841=""),"",IF(E841="Buy",(J841-I841)/I841,(I841-J841)/I841))</f>
        <v/>
      </c>
      <c r="N841" s="25" t="str">
        <f aca="false">IF(OR(I841="",J841="",I841=G841),"",IF(E841="Buy",(J841-I841)/(I841-G841),(I841-J841)/(G841-I841)))</f>
        <v/>
      </c>
      <c r="O841" s="2" t="str">
        <f aca="false">IF(OR(B841="",K841=""),"",IFERROR(K841-B841,""))</f>
        <v/>
      </c>
      <c r="P841" s="2" t="str">
        <f aca="false">IF(M841="","",IF(M841&gt;0,1,0))</f>
        <v/>
      </c>
    </row>
    <row r="842" customFormat="false" ht="15" hidden="false" customHeight="false" outlineLevel="0" collapsed="false">
      <c r="M842" s="24" t="str">
        <f aca="false">IF(OR(I842="",J842=""),"",IF(E842="Buy",(J842-I842)/I842,(I842-J842)/I842))</f>
        <v/>
      </c>
      <c r="N842" s="25" t="str">
        <f aca="false">IF(OR(I842="",J842="",I842=G842),"",IF(E842="Buy",(J842-I842)/(I842-G842),(I842-J842)/(G842-I842)))</f>
        <v/>
      </c>
      <c r="O842" s="2" t="str">
        <f aca="false">IF(OR(B842="",K842=""),"",IFERROR(K842-B842,""))</f>
        <v/>
      </c>
      <c r="P842" s="2" t="str">
        <f aca="false">IF(M842="","",IF(M842&gt;0,1,0))</f>
        <v/>
      </c>
    </row>
    <row r="843" customFormat="false" ht="15" hidden="false" customHeight="false" outlineLevel="0" collapsed="false">
      <c r="M843" s="24" t="str">
        <f aca="false">IF(OR(I843="",J843=""),"",IF(E843="Buy",(J843-I843)/I843,(I843-J843)/I843))</f>
        <v/>
      </c>
      <c r="N843" s="25" t="str">
        <f aca="false">IF(OR(I843="",J843="",I843=G843),"",IF(E843="Buy",(J843-I843)/(I843-G843),(I843-J843)/(G843-I843)))</f>
        <v/>
      </c>
      <c r="O843" s="2" t="str">
        <f aca="false">IF(OR(B843="",K843=""),"",IFERROR(K843-B843,""))</f>
        <v/>
      </c>
      <c r="P843" s="2" t="str">
        <f aca="false">IF(M843="","",IF(M843&gt;0,1,0))</f>
        <v/>
      </c>
    </row>
    <row r="844" customFormat="false" ht="15" hidden="false" customHeight="false" outlineLevel="0" collapsed="false">
      <c r="M844" s="24" t="str">
        <f aca="false">IF(OR(I844="",J844=""),"",IF(E844="Buy",(J844-I844)/I844,(I844-J844)/I844))</f>
        <v/>
      </c>
      <c r="N844" s="25" t="str">
        <f aca="false">IF(OR(I844="",J844="",I844=G844),"",IF(E844="Buy",(J844-I844)/(I844-G844),(I844-J844)/(G844-I844)))</f>
        <v/>
      </c>
      <c r="O844" s="2" t="str">
        <f aca="false">IF(OR(B844="",K844=""),"",IFERROR(K844-B844,""))</f>
        <v/>
      </c>
      <c r="P844" s="2" t="str">
        <f aca="false">IF(M844="","",IF(M844&gt;0,1,0))</f>
        <v/>
      </c>
    </row>
    <row r="845" customFormat="false" ht="15" hidden="false" customHeight="false" outlineLevel="0" collapsed="false">
      <c r="M845" s="24" t="str">
        <f aca="false">IF(OR(I845="",J845=""),"",IF(E845="Buy",(J845-I845)/I845,(I845-J845)/I845))</f>
        <v/>
      </c>
      <c r="N845" s="25" t="str">
        <f aca="false">IF(OR(I845="",J845="",I845=G845),"",IF(E845="Buy",(J845-I845)/(I845-G845),(I845-J845)/(G845-I845)))</f>
        <v/>
      </c>
      <c r="O845" s="2" t="str">
        <f aca="false">IF(OR(B845="",K845=""),"",IFERROR(K845-B845,""))</f>
        <v/>
      </c>
      <c r="P845" s="2" t="str">
        <f aca="false">IF(M845="","",IF(M845&gt;0,1,0))</f>
        <v/>
      </c>
    </row>
    <row r="846" customFormat="false" ht="15" hidden="false" customHeight="false" outlineLevel="0" collapsed="false">
      <c r="M846" s="24" t="str">
        <f aca="false">IF(OR(I846="",J846=""),"",IF(E846="Buy",(J846-I846)/I846,(I846-J846)/I846))</f>
        <v/>
      </c>
      <c r="N846" s="25" t="str">
        <f aca="false">IF(OR(I846="",J846="",I846=G846),"",IF(E846="Buy",(J846-I846)/(I846-G846),(I846-J846)/(G846-I846)))</f>
        <v/>
      </c>
      <c r="O846" s="2" t="str">
        <f aca="false">IF(OR(B846="",K846=""),"",IFERROR(K846-B846,""))</f>
        <v/>
      </c>
      <c r="P846" s="2" t="str">
        <f aca="false">IF(M846="","",IF(M846&gt;0,1,0))</f>
        <v/>
      </c>
    </row>
    <row r="847" customFormat="false" ht="15" hidden="false" customHeight="false" outlineLevel="0" collapsed="false">
      <c r="M847" s="24" t="str">
        <f aca="false">IF(OR(I847="",J847=""),"",IF(E847="Buy",(J847-I847)/I847,(I847-J847)/I847))</f>
        <v/>
      </c>
      <c r="N847" s="25" t="str">
        <f aca="false">IF(OR(I847="",J847="",I847=G847),"",IF(E847="Buy",(J847-I847)/(I847-G847),(I847-J847)/(G847-I847)))</f>
        <v/>
      </c>
      <c r="O847" s="2" t="str">
        <f aca="false">IF(OR(B847="",K847=""),"",IFERROR(K847-B847,""))</f>
        <v/>
      </c>
      <c r="P847" s="2" t="str">
        <f aca="false">IF(M847="","",IF(M847&gt;0,1,0))</f>
        <v/>
      </c>
    </row>
    <row r="848" customFormat="false" ht="15" hidden="false" customHeight="false" outlineLevel="0" collapsed="false">
      <c r="M848" s="24" t="str">
        <f aca="false">IF(OR(I848="",J848=""),"",IF(E848="Buy",(J848-I848)/I848,(I848-J848)/I848))</f>
        <v/>
      </c>
      <c r="N848" s="25" t="str">
        <f aca="false">IF(OR(I848="",J848="",I848=G848),"",IF(E848="Buy",(J848-I848)/(I848-G848),(I848-J848)/(G848-I848)))</f>
        <v/>
      </c>
      <c r="O848" s="2" t="str">
        <f aca="false">IF(OR(B848="",K848=""),"",IFERROR(K848-B848,""))</f>
        <v/>
      </c>
      <c r="P848" s="2" t="str">
        <f aca="false">IF(M848="","",IF(M848&gt;0,1,0))</f>
        <v/>
      </c>
    </row>
    <row r="849" customFormat="false" ht="15" hidden="false" customHeight="false" outlineLevel="0" collapsed="false">
      <c r="M849" s="24" t="str">
        <f aca="false">IF(OR(I849="",J849=""),"",IF(E849="Buy",(J849-I849)/I849,(I849-J849)/I849))</f>
        <v/>
      </c>
      <c r="N849" s="25" t="str">
        <f aca="false">IF(OR(I849="",J849="",I849=G849),"",IF(E849="Buy",(J849-I849)/(I849-G849),(I849-J849)/(G849-I849)))</f>
        <v/>
      </c>
      <c r="O849" s="2" t="str">
        <f aca="false">IF(OR(B849="",K849=""),"",IFERROR(K849-B849,""))</f>
        <v/>
      </c>
      <c r="P849" s="2" t="str">
        <f aca="false">IF(M849="","",IF(M849&gt;0,1,0))</f>
        <v/>
      </c>
    </row>
    <row r="850" customFormat="false" ht="15" hidden="false" customHeight="false" outlineLevel="0" collapsed="false">
      <c r="M850" s="24" t="str">
        <f aca="false">IF(OR(I850="",J850=""),"",IF(E850="Buy",(J850-I850)/I850,(I850-J850)/I850))</f>
        <v/>
      </c>
      <c r="N850" s="25" t="str">
        <f aca="false">IF(OR(I850="",J850="",I850=G850),"",IF(E850="Buy",(J850-I850)/(I850-G850),(I850-J850)/(G850-I850)))</f>
        <v/>
      </c>
      <c r="O850" s="2" t="str">
        <f aca="false">IF(OR(B850="",K850=""),"",IFERROR(K850-B850,""))</f>
        <v/>
      </c>
      <c r="P850" s="2" t="str">
        <f aca="false">IF(M850="","",IF(M850&gt;0,1,0))</f>
        <v/>
      </c>
    </row>
    <row r="851" customFormat="false" ht="15" hidden="false" customHeight="false" outlineLevel="0" collapsed="false">
      <c r="M851" s="24" t="str">
        <f aca="false">IF(OR(I851="",J851=""),"",IF(E851="Buy",(J851-I851)/I851,(I851-J851)/I851))</f>
        <v/>
      </c>
      <c r="N851" s="25" t="str">
        <f aca="false">IF(OR(I851="",J851="",I851=G851),"",IF(E851="Buy",(J851-I851)/(I851-G851),(I851-J851)/(G851-I851)))</f>
        <v/>
      </c>
      <c r="O851" s="2" t="str">
        <f aca="false">IF(OR(B851="",K851=""),"",IFERROR(K851-B851,""))</f>
        <v/>
      </c>
      <c r="P851" s="2" t="str">
        <f aca="false">IF(M851="","",IF(M851&gt;0,1,0))</f>
        <v/>
      </c>
    </row>
    <row r="852" customFormat="false" ht="15" hidden="false" customHeight="false" outlineLevel="0" collapsed="false">
      <c r="M852" s="24" t="str">
        <f aca="false">IF(OR(I852="",J852=""),"",IF(E852="Buy",(J852-I852)/I852,(I852-J852)/I852))</f>
        <v/>
      </c>
      <c r="N852" s="25" t="str">
        <f aca="false">IF(OR(I852="",J852="",I852=G852),"",IF(E852="Buy",(J852-I852)/(I852-G852),(I852-J852)/(G852-I852)))</f>
        <v/>
      </c>
      <c r="O852" s="2" t="str">
        <f aca="false">IF(OR(B852="",K852=""),"",IFERROR(K852-B852,""))</f>
        <v/>
      </c>
      <c r="P852" s="2" t="str">
        <f aca="false">IF(M852="","",IF(M852&gt;0,1,0))</f>
        <v/>
      </c>
    </row>
    <row r="853" customFormat="false" ht="15" hidden="false" customHeight="false" outlineLevel="0" collapsed="false">
      <c r="M853" s="24" t="str">
        <f aca="false">IF(OR(I853="",J853=""),"",IF(E853="Buy",(J853-I853)/I853,(I853-J853)/I853))</f>
        <v/>
      </c>
      <c r="N853" s="25" t="str">
        <f aca="false">IF(OR(I853="",J853="",I853=G853),"",IF(E853="Buy",(J853-I853)/(I853-G853),(I853-J853)/(G853-I853)))</f>
        <v/>
      </c>
      <c r="O853" s="2" t="str">
        <f aca="false">IF(OR(B853="",K853=""),"",IFERROR(K853-B853,""))</f>
        <v/>
      </c>
      <c r="P853" s="2" t="str">
        <f aca="false">IF(M853="","",IF(M853&gt;0,1,0))</f>
        <v/>
      </c>
    </row>
    <row r="854" customFormat="false" ht="15" hidden="false" customHeight="false" outlineLevel="0" collapsed="false">
      <c r="M854" s="24" t="str">
        <f aca="false">IF(OR(I854="",J854=""),"",IF(E854="Buy",(J854-I854)/I854,(I854-J854)/I854))</f>
        <v/>
      </c>
      <c r="N854" s="25" t="str">
        <f aca="false">IF(OR(I854="",J854="",I854=G854),"",IF(E854="Buy",(J854-I854)/(I854-G854),(I854-J854)/(G854-I854)))</f>
        <v/>
      </c>
      <c r="O854" s="2" t="str">
        <f aca="false">IF(OR(B854="",K854=""),"",IFERROR(K854-B854,""))</f>
        <v/>
      </c>
      <c r="P854" s="2" t="str">
        <f aca="false">IF(M854="","",IF(M854&gt;0,1,0))</f>
        <v/>
      </c>
    </row>
    <row r="855" customFormat="false" ht="15" hidden="false" customHeight="false" outlineLevel="0" collapsed="false">
      <c r="M855" s="24" t="str">
        <f aca="false">IF(OR(I855="",J855=""),"",IF(E855="Buy",(J855-I855)/I855,(I855-J855)/I855))</f>
        <v/>
      </c>
      <c r="N855" s="25" t="str">
        <f aca="false">IF(OR(I855="",J855="",I855=G855),"",IF(E855="Buy",(J855-I855)/(I855-G855),(I855-J855)/(G855-I855)))</f>
        <v/>
      </c>
      <c r="O855" s="2" t="str">
        <f aca="false">IF(OR(B855="",K855=""),"",IFERROR(K855-B855,""))</f>
        <v/>
      </c>
      <c r="P855" s="2" t="str">
        <f aca="false">IF(M855="","",IF(M855&gt;0,1,0))</f>
        <v/>
      </c>
    </row>
    <row r="856" customFormat="false" ht="15" hidden="false" customHeight="false" outlineLevel="0" collapsed="false">
      <c r="M856" s="24" t="str">
        <f aca="false">IF(OR(I856="",J856=""),"",IF(E856="Buy",(J856-I856)/I856,(I856-J856)/I856))</f>
        <v/>
      </c>
      <c r="N856" s="25" t="str">
        <f aca="false">IF(OR(I856="",J856="",I856=G856),"",IF(E856="Buy",(J856-I856)/(I856-G856),(I856-J856)/(G856-I856)))</f>
        <v/>
      </c>
      <c r="O856" s="2" t="str">
        <f aca="false">IF(OR(B856="",K856=""),"",IFERROR(K856-B856,""))</f>
        <v/>
      </c>
      <c r="P856" s="2" t="str">
        <f aca="false">IF(M856="","",IF(M856&gt;0,1,0))</f>
        <v/>
      </c>
    </row>
    <row r="857" customFormat="false" ht="15" hidden="false" customHeight="false" outlineLevel="0" collapsed="false">
      <c r="M857" s="24" t="str">
        <f aca="false">IF(OR(I857="",J857=""),"",IF(E857="Buy",(J857-I857)/I857,(I857-J857)/I857))</f>
        <v/>
      </c>
      <c r="N857" s="25" t="str">
        <f aca="false">IF(OR(I857="",J857="",I857=G857),"",IF(E857="Buy",(J857-I857)/(I857-G857),(I857-J857)/(G857-I857)))</f>
        <v/>
      </c>
      <c r="O857" s="2" t="str">
        <f aca="false">IF(OR(B857="",K857=""),"",IFERROR(K857-B857,""))</f>
        <v/>
      </c>
      <c r="P857" s="2" t="str">
        <f aca="false">IF(M857="","",IF(M857&gt;0,1,0))</f>
        <v/>
      </c>
    </row>
    <row r="858" customFormat="false" ht="15" hidden="false" customHeight="false" outlineLevel="0" collapsed="false">
      <c r="M858" s="24" t="str">
        <f aca="false">IF(OR(I858="",J858=""),"",IF(E858="Buy",(J858-I858)/I858,(I858-J858)/I858))</f>
        <v/>
      </c>
      <c r="N858" s="25" t="str">
        <f aca="false">IF(OR(I858="",J858="",I858=G858),"",IF(E858="Buy",(J858-I858)/(I858-G858),(I858-J858)/(G858-I858)))</f>
        <v/>
      </c>
      <c r="O858" s="2" t="str">
        <f aca="false">IF(OR(B858="",K858=""),"",IFERROR(K858-B858,""))</f>
        <v/>
      </c>
      <c r="P858" s="2" t="str">
        <f aca="false">IF(M858="","",IF(M858&gt;0,1,0))</f>
        <v/>
      </c>
    </row>
    <row r="859" customFormat="false" ht="15" hidden="false" customHeight="false" outlineLevel="0" collapsed="false">
      <c r="M859" s="24" t="str">
        <f aca="false">IF(OR(I859="",J859=""),"",IF(E859="Buy",(J859-I859)/I859,(I859-J859)/I859))</f>
        <v/>
      </c>
      <c r="N859" s="25" t="str">
        <f aca="false">IF(OR(I859="",J859="",I859=G859),"",IF(E859="Buy",(J859-I859)/(I859-G859),(I859-J859)/(G859-I859)))</f>
        <v/>
      </c>
      <c r="O859" s="2" t="str">
        <f aca="false">IF(OR(B859="",K859=""),"",IFERROR(K859-B859,""))</f>
        <v/>
      </c>
      <c r="P859" s="2" t="str">
        <f aca="false">IF(M859="","",IF(M859&gt;0,1,0))</f>
        <v/>
      </c>
    </row>
    <row r="860" customFormat="false" ht="15" hidden="false" customHeight="false" outlineLevel="0" collapsed="false">
      <c r="M860" s="24" t="str">
        <f aca="false">IF(OR(I860="",J860=""),"",IF(E860="Buy",(J860-I860)/I860,(I860-J860)/I860))</f>
        <v/>
      </c>
      <c r="N860" s="25" t="str">
        <f aca="false">IF(OR(I860="",J860="",I860=G860),"",IF(E860="Buy",(J860-I860)/(I860-G860),(I860-J860)/(G860-I860)))</f>
        <v/>
      </c>
      <c r="O860" s="2" t="str">
        <f aca="false">IF(OR(B860="",K860=""),"",IFERROR(K860-B860,""))</f>
        <v/>
      </c>
      <c r="P860" s="2" t="str">
        <f aca="false">IF(M860="","",IF(M860&gt;0,1,0))</f>
        <v/>
      </c>
    </row>
    <row r="861" customFormat="false" ht="15" hidden="false" customHeight="false" outlineLevel="0" collapsed="false">
      <c r="M861" s="24" t="str">
        <f aca="false">IF(OR(I861="",J861=""),"",IF(E861="Buy",(J861-I861)/I861,(I861-J861)/I861))</f>
        <v/>
      </c>
      <c r="N861" s="25" t="str">
        <f aca="false">IF(OR(I861="",J861="",I861=G861),"",IF(E861="Buy",(J861-I861)/(I861-G861),(I861-J861)/(G861-I861)))</f>
        <v/>
      </c>
      <c r="O861" s="2" t="str">
        <f aca="false">IF(OR(B861="",K861=""),"",IFERROR(K861-B861,""))</f>
        <v/>
      </c>
      <c r="P861" s="2" t="str">
        <f aca="false">IF(M861="","",IF(M861&gt;0,1,0))</f>
        <v/>
      </c>
    </row>
    <row r="862" customFormat="false" ht="15" hidden="false" customHeight="false" outlineLevel="0" collapsed="false">
      <c r="M862" s="24" t="str">
        <f aca="false">IF(OR(I862="",J862=""),"",IF(E862="Buy",(J862-I862)/I862,(I862-J862)/I862))</f>
        <v/>
      </c>
      <c r="N862" s="25" t="str">
        <f aca="false">IF(OR(I862="",J862="",I862=G862),"",IF(E862="Buy",(J862-I862)/(I862-G862),(I862-J862)/(G862-I862)))</f>
        <v/>
      </c>
      <c r="O862" s="2" t="str">
        <f aca="false">IF(OR(B862="",K862=""),"",IFERROR(K862-B862,""))</f>
        <v/>
      </c>
      <c r="P862" s="2" t="str">
        <f aca="false">IF(M862="","",IF(M862&gt;0,1,0))</f>
        <v/>
      </c>
    </row>
    <row r="863" customFormat="false" ht="15" hidden="false" customHeight="false" outlineLevel="0" collapsed="false">
      <c r="M863" s="24" t="str">
        <f aca="false">IF(OR(I863="",J863=""),"",IF(E863="Buy",(J863-I863)/I863,(I863-J863)/I863))</f>
        <v/>
      </c>
      <c r="N863" s="25" t="str">
        <f aca="false">IF(OR(I863="",J863="",I863=G863),"",IF(E863="Buy",(J863-I863)/(I863-G863),(I863-J863)/(G863-I863)))</f>
        <v/>
      </c>
      <c r="O863" s="2" t="str">
        <f aca="false">IF(OR(B863="",K863=""),"",IFERROR(K863-B863,""))</f>
        <v/>
      </c>
      <c r="P863" s="2" t="str">
        <f aca="false">IF(M863="","",IF(M863&gt;0,1,0))</f>
        <v/>
      </c>
    </row>
    <row r="864" customFormat="false" ht="15" hidden="false" customHeight="false" outlineLevel="0" collapsed="false">
      <c r="M864" s="24" t="str">
        <f aca="false">IF(OR(I864="",J864=""),"",IF(E864="Buy",(J864-I864)/I864,(I864-J864)/I864))</f>
        <v/>
      </c>
      <c r="N864" s="25" t="str">
        <f aca="false">IF(OR(I864="",J864="",I864=G864),"",IF(E864="Buy",(J864-I864)/(I864-G864),(I864-J864)/(G864-I864)))</f>
        <v/>
      </c>
      <c r="O864" s="2" t="str">
        <f aca="false">IF(OR(B864="",K864=""),"",IFERROR(K864-B864,""))</f>
        <v/>
      </c>
      <c r="P864" s="2" t="str">
        <f aca="false">IF(M864="","",IF(M864&gt;0,1,0))</f>
        <v/>
      </c>
    </row>
    <row r="865" customFormat="false" ht="15" hidden="false" customHeight="false" outlineLevel="0" collapsed="false">
      <c r="M865" s="24" t="str">
        <f aca="false">IF(OR(I865="",J865=""),"",IF(E865="Buy",(J865-I865)/I865,(I865-J865)/I865))</f>
        <v/>
      </c>
      <c r="N865" s="25" t="str">
        <f aca="false">IF(OR(I865="",J865="",I865=G865),"",IF(E865="Buy",(J865-I865)/(I865-G865),(I865-J865)/(G865-I865)))</f>
        <v/>
      </c>
      <c r="O865" s="2" t="str">
        <f aca="false">IF(OR(B865="",K865=""),"",IFERROR(K865-B865,""))</f>
        <v/>
      </c>
      <c r="P865" s="2" t="str">
        <f aca="false">IF(M865="","",IF(M865&gt;0,1,0))</f>
        <v/>
      </c>
    </row>
    <row r="866" customFormat="false" ht="15" hidden="false" customHeight="false" outlineLevel="0" collapsed="false">
      <c r="M866" s="24" t="str">
        <f aca="false">IF(OR(I866="",J866=""),"",IF(E866="Buy",(J866-I866)/I866,(I866-J866)/I866))</f>
        <v/>
      </c>
      <c r="N866" s="25" t="str">
        <f aca="false">IF(OR(I866="",J866="",I866=G866),"",IF(E866="Buy",(J866-I866)/(I866-G866),(I866-J866)/(G866-I866)))</f>
        <v/>
      </c>
      <c r="O866" s="2" t="str">
        <f aca="false">IF(OR(B866="",K866=""),"",IFERROR(K866-B866,""))</f>
        <v/>
      </c>
      <c r="P866" s="2" t="str">
        <f aca="false">IF(M866="","",IF(M866&gt;0,1,0))</f>
        <v/>
      </c>
    </row>
    <row r="867" customFormat="false" ht="15" hidden="false" customHeight="false" outlineLevel="0" collapsed="false">
      <c r="M867" s="24" t="str">
        <f aca="false">IF(OR(I867="",J867=""),"",IF(E867="Buy",(J867-I867)/I867,(I867-J867)/I867))</f>
        <v/>
      </c>
      <c r="N867" s="25" t="str">
        <f aca="false">IF(OR(I867="",J867="",I867=G867),"",IF(E867="Buy",(J867-I867)/(I867-G867),(I867-J867)/(G867-I867)))</f>
        <v/>
      </c>
      <c r="O867" s="2" t="str">
        <f aca="false">IF(OR(B867="",K867=""),"",IFERROR(K867-B867,""))</f>
        <v/>
      </c>
      <c r="P867" s="2" t="str">
        <f aca="false">IF(M867="","",IF(M867&gt;0,1,0))</f>
        <v/>
      </c>
    </row>
    <row r="868" customFormat="false" ht="15" hidden="false" customHeight="false" outlineLevel="0" collapsed="false">
      <c r="M868" s="24" t="str">
        <f aca="false">IF(OR(I868="",J868=""),"",IF(E868="Buy",(J868-I868)/I868,(I868-J868)/I868))</f>
        <v/>
      </c>
      <c r="N868" s="25" t="str">
        <f aca="false">IF(OR(I868="",J868="",I868=G868),"",IF(E868="Buy",(J868-I868)/(I868-G868),(I868-J868)/(G868-I868)))</f>
        <v/>
      </c>
      <c r="O868" s="2" t="str">
        <f aca="false">IF(OR(B868="",K868=""),"",IFERROR(K868-B868,""))</f>
        <v/>
      </c>
      <c r="P868" s="2" t="str">
        <f aca="false">IF(M868="","",IF(M868&gt;0,1,0))</f>
        <v/>
      </c>
    </row>
    <row r="869" customFormat="false" ht="15" hidden="false" customHeight="false" outlineLevel="0" collapsed="false">
      <c r="M869" s="24" t="str">
        <f aca="false">IF(OR(I869="",J869=""),"",IF(E869="Buy",(J869-I869)/I869,(I869-J869)/I869))</f>
        <v/>
      </c>
      <c r="N869" s="25" t="str">
        <f aca="false">IF(OR(I869="",J869="",I869=G869),"",IF(E869="Buy",(J869-I869)/(I869-G869),(I869-J869)/(G869-I869)))</f>
        <v/>
      </c>
      <c r="O869" s="2" t="str">
        <f aca="false">IF(OR(B869="",K869=""),"",IFERROR(K869-B869,""))</f>
        <v/>
      </c>
      <c r="P869" s="2" t="str">
        <f aca="false">IF(M869="","",IF(M869&gt;0,1,0))</f>
        <v/>
      </c>
    </row>
    <row r="870" customFormat="false" ht="15" hidden="false" customHeight="false" outlineLevel="0" collapsed="false">
      <c r="M870" s="24" t="str">
        <f aca="false">IF(OR(I870="",J870=""),"",IF(E870="Buy",(J870-I870)/I870,(I870-J870)/I870))</f>
        <v/>
      </c>
      <c r="N870" s="25" t="str">
        <f aca="false">IF(OR(I870="",J870="",I870=G870),"",IF(E870="Buy",(J870-I870)/(I870-G870),(I870-J870)/(G870-I870)))</f>
        <v/>
      </c>
      <c r="O870" s="2" t="str">
        <f aca="false">IF(OR(B870="",K870=""),"",IFERROR(K870-B870,""))</f>
        <v/>
      </c>
      <c r="P870" s="2" t="str">
        <f aca="false">IF(M870="","",IF(M870&gt;0,1,0))</f>
        <v/>
      </c>
    </row>
    <row r="871" customFormat="false" ht="15" hidden="false" customHeight="false" outlineLevel="0" collapsed="false">
      <c r="M871" s="24" t="str">
        <f aca="false">IF(OR(I871="",J871=""),"",IF(E871="Buy",(J871-I871)/I871,(I871-J871)/I871))</f>
        <v/>
      </c>
      <c r="N871" s="25" t="str">
        <f aca="false">IF(OR(I871="",J871="",I871=G871),"",IF(E871="Buy",(J871-I871)/(I871-G871),(I871-J871)/(G871-I871)))</f>
        <v/>
      </c>
      <c r="O871" s="2" t="str">
        <f aca="false">IF(OR(B871="",K871=""),"",IFERROR(K871-B871,""))</f>
        <v/>
      </c>
      <c r="P871" s="2" t="str">
        <f aca="false">IF(M871="","",IF(M871&gt;0,1,0))</f>
        <v/>
      </c>
    </row>
    <row r="872" customFormat="false" ht="15" hidden="false" customHeight="false" outlineLevel="0" collapsed="false">
      <c r="M872" s="24" t="str">
        <f aca="false">IF(OR(I872="",J872=""),"",IF(E872="Buy",(J872-I872)/I872,(I872-J872)/I872))</f>
        <v/>
      </c>
      <c r="N872" s="25" t="str">
        <f aca="false">IF(OR(I872="",J872="",I872=G872),"",IF(E872="Buy",(J872-I872)/(I872-G872),(I872-J872)/(G872-I872)))</f>
        <v/>
      </c>
      <c r="O872" s="2" t="str">
        <f aca="false">IF(OR(B872="",K872=""),"",IFERROR(K872-B872,""))</f>
        <v/>
      </c>
      <c r="P872" s="2" t="str">
        <f aca="false">IF(M872="","",IF(M872&gt;0,1,0))</f>
        <v/>
      </c>
    </row>
    <row r="873" customFormat="false" ht="15" hidden="false" customHeight="false" outlineLevel="0" collapsed="false">
      <c r="M873" s="24" t="str">
        <f aca="false">IF(OR(I873="",J873=""),"",IF(E873="Buy",(J873-I873)/I873,(I873-J873)/I873))</f>
        <v/>
      </c>
      <c r="N873" s="25" t="str">
        <f aca="false">IF(OR(I873="",J873="",I873=G873),"",IF(E873="Buy",(J873-I873)/(I873-G873),(I873-J873)/(G873-I873)))</f>
        <v/>
      </c>
      <c r="O873" s="2" t="str">
        <f aca="false">IF(OR(B873="",K873=""),"",IFERROR(K873-B873,""))</f>
        <v/>
      </c>
      <c r="P873" s="2" t="str">
        <f aca="false">IF(M873="","",IF(M873&gt;0,1,0))</f>
        <v/>
      </c>
    </row>
    <row r="874" customFormat="false" ht="15" hidden="false" customHeight="false" outlineLevel="0" collapsed="false">
      <c r="M874" s="24" t="str">
        <f aca="false">IF(OR(I874="",J874=""),"",IF(E874="Buy",(J874-I874)/I874,(I874-J874)/I874))</f>
        <v/>
      </c>
      <c r="N874" s="25" t="str">
        <f aca="false">IF(OR(I874="",J874="",I874=G874),"",IF(E874="Buy",(J874-I874)/(I874-G874),(I874-J874)/(G874-I874)))</f>
        <v/>
      </c>
      <c r="O874" s="2" t="str">
        <f aca="false">IF(OR(B874="",K874=""),"",IFERROR(K874-B874,""))</f>
        <v/>
      </c>
      <c r="P874" s="2" t="str">
        <f aca="false">IF(M874="","",IF(M874&gt;0,1,0))</f>
        <v/>
      </c>
    </row>
    <row r="875" customFormat="false" ht="15" hidden="false" customHeight="false" outlineLevel="0" collapsed="false">
      <c r="M875" s="24" t="str">
        <f aca="false">IF(OR(I875="",J875=""),"",IF(E875="Buy",(J875-I875)/I875,(I875-J875)/I875))</f>
        <v/>
      </c>
      <c r="N875" s="25" t="str">
        <f aca="false">IF(OR(I875="",J875="",I875=G875),"",IF(E875="Buy",(J875-I875)/(I875-G875),(I875-J875)/(G875-I875)))</f>
        <v/>
      </c>
      <c r="O875" s="2" t="str">
        <f aca="false">IF(OR(B875="",K875=""),"",IFERROR(K875-B875,""))</f>
        <v/>
      </c>
      <c r="P875" s="2" t="str">
        <f aca="false">IF(M875="","",IF(M875&gt;0,1,0))</f>
        <v/>
      </c>
    </row>
    <row r="876" customFormat="false" ht="15" hidden="false" customHeight="false" outlineLevel="0" collapsed="false">
      <c r="M876" s="24" t="str">
        <f aca="false">IF(OR(I876="",J876=""),"",IF(E876="Buy",(J876-I876)/I876,(I876-J876)/I876))</f>
        <v/>
      </c>
      <c r="N876" s="25" t="str">
        <f aca="false">IF(OR(I876="",J876="",I876=G876),"",IF(E876="Buy",(J876-I876)/(I876-G876),(I876-J876)/(G876-I876)))</f>
        <v/>
      </c>
      <c r="O876" s="2" t="str">
        <f aca="false">IF(OR(B876="",K876=""),"",IFERROR(K876-B876,""))</f>
        <v/>
      </c>
      <c r="P876" s="2" t="str">
        <f aca="false">IF(M876="","",IF(M876&gt;0,1,0))</f>
        <v/>
      </c>
    </row>
    <row r="877" customFormat="false" ht="15" hidden="false" customHeight="false" outlineLevel="0" collapsed="false">
      <c r="M877" s="24" t="str">
        <f aca="false">IF(OR(I877="",J877=""),"",IF(E877="Buy",(J877-I877)/I877,(I877-J877)/I877))</f>
        <v/>
      </c>
      <c r="N877" s="25" t="str">
        <f aca="false">IF(OR(I877="",J877="",I877=G877),"",IF(E877="Buy",(J877-I877)/(I877-G877),(I877-J877)/(G877-I877)))</f>
        <v/>
      </c>
      <c r="O877" s="2" t="str">
        <f aca="false">IF(OR(B877="",K877=""),"",IFERROR(K877-B877,""))</f>
        <v/>
      </c>
      <c r="P877" s="2" t="str">
        <f aca="false">IF(M877="","",IF(M877&gt;0,1,0))</f>
        <v/>
      </c>
    </row>
    <row r="878" customFormat="false" ht="15" hidden="false" customHeight="false" outlineLevel="0" collapsed="false">
      <c r="M878" s="24" t="str">
        <f aca="false">IF(OR(I878="",J878=""),"",IF(E878="Buy",(J878-I878)/I878,(I878-J878)/I878))</f>
        <v/>
      </c>
      <c r="N878" s="25" t="str">
        <f aca="false">IF(OR(I878="",J878="",I878=G878),"",IF(E878="Buy",(J878-I878)/(I878-G878),(I878-J878)/(G878-I878)))</f>
        <v/>
      </c>
      <c r="O878" s="2" t="str">
        <f aca="false">IF(OR(B878="",K878=""),"",IFERROR(K878-B878,""))</f>
        <v/>
      </c>
      <c r="P878" s="2" t="str">
        <f aca="false">IF(M878="","",IF(M878&gt;0,1,0))</f>
        <v/>
      </c>
    </row>
    <row r="879" customFormat="false" ht="15" hidden="false" customHeight="false" outlineLevel="0" collapsed="false">
      <c r="M879" s="24" t="str">
        <f aca="false">IF(OR(I879="",J879=""),"",IF(E879="Buy",(J879-I879)/I879,(I879-J879)/I879))</f>
        <v/>
      </c>
      <c r="N879" s="25" t="str">
        <f aca="false">IF(OR(I879="",J879="",I879=G879),"",IF(E879="Buy",(J879-I879)/(I879-G879),(I879-J879)/(G879-I879)))</f>
        <v/>
      </c>
      <c r="O879" s="2" t="str">
        <f aca="false">IF(OR(B879="",K879=""),"",IFERROR(K879-B879,""))</f>
        <v/>
      </c>
      <c r="P879" s="2" t="str">
        <f aca="false">IF(M879="","",IF(M879&gt;0,1,0))</f>
        <v/>
      </c>
    </row>
    <row r="880" customFormat="false" ht="15" hidden="false" customHeight="false" outlineLevel="0" collapsed="false">
      <c r="M880" s="24" t="str">
        <f aca="false">IF(OR(I880="",J880=""),"",IF(E880="Buy",(J880-I880)/I880,(I880-J880)/I880))</f>
        <v/>
      </c>
      <c r="N880" s="25" t="str">
        <f aca="false">IF(OR(I880="",J880="",I880=G880),"",IF(E880="Buy",(J880-I880)/(I880-G880),(I880-J880)/(G880-I880)))</f>
        <v/>
      </c>
      <c r="O880" s="2" t="str">
        <f aca="false">IF(OR(B880="",K880=""),"",IFERROR(K880-B880,""))</f>
        <v/>
      </c>
      <c r="P880" s="2" t="str">
        <f aca="false">IF(M880="","",IF(M880&gt;0,1,0))</f>
        <v/>
      </c>
    </row>
    <row r="881" customFormat="false" ht="15" hidden="false" customHeight="false" outlineLevel="0" collapsed="false">
      <c r="M881" s="24" t="str">
        <f aca="false">IF(OR(I881="",J881=""),"",IF(E881="Buy",(J881-I881)/I881,(I881-J881)/I881))</f>
        <v/>
      </c>
      <c r="N881" s="25" t="str">
        <f aca="false">IF(OR(I881="",J881="",I881=G881),"",IF(E881="Buy",(J881-I881)/(I881-G881),(I881-J881)/(G881-I881)))</f>
        <v/>
      </c>
      <c r="O881" s="2" t="str">
        <f aca="false">IF(OR(B881="",K881=""),"",IFERROR(K881-B881,""))</f>
        <v/>
      </c>
      <c r="P881" s="2" t="str">
        <f aca="false">IF(M881="","",IF(M881&gt;0,1,0))</f>
        <v/>
      </c>
    </row>
    <row r="882" customFormat="false" ht="15" hidden="false" customHeight="false" outlineLevel="0" collapsed="false">
      <c r="M882" s="24" t="str">
        <f aca="false">IF(OR(I882="",J882=""),"",IF(E882="Buy",(J882-I882)/I882,(I882-J882)/I882))</f>
        <v/>
      </c>
      <c r="N882" s="25" t="str">
        <f aca="false">IF(OR(I882="",J882="",I882=G882),"",IF(E882="Buy",(J882-I882)/(I882-G882),(I882-J882)/(G882-I882)))</f>
        <v/>
      </c>
      <c r="O882" s="2" t="str">
        <f aca="false">IF(OR(B882="",K882=""),"",IFERROR(K882-B882,""))</f>
        <v/>
      </c>
      <c r="P882" s="2" t="str">
        <f aca="false">IF(M882="","",IF(M882&gt;0,1,0))</f>
        <v/>
      </c>
    </row>
    <row r="883" customFormat="false" ht="15" hidden="false" customHeight="false" outlineLevel="0" collapsed="false">
      <c r="M883" s="24" t="str">
        <f aca="false">IF(OR(I883="",J883=""),"",IF(E883="Buy",(J883-I883)/I883,(I883-J883)/I883))</f>
        <v/>
      </c>
      <c r="N883" s="25" t="str">
        <f aca="false">IF(OR(I883="",J883="",I883=G883),"",IF(E883="Buy",(J883-I883)/(I883-G883),(I883-J883)/(G883-I883)))</f>
        <v/>
      </c>
      <c r="O883" s="2" t="str">
        <f aca="false">IF(OR(B883="",K883=""),"",IFERROR(K883-B883,""))</f>
        <v/>
      </c>
      <c r="P883" s="2" t="str">
        <f aca="false">IF(M883="","",IF(M883&gt;0,1,0))</f>
        <v/>
      </c>
    </row>
    <row r="884" customFormat="false" ht="15" hidden="false" customHeight="false" outlineLevel="0" collapsed="false">
      <c r="M884" s="24" t="str">
        <f aca="false">IF(OR(I884="",J884=""),"",IF(E884="Buy",(J884-I884)/I884,(I884-J884)/I884))</f>
        <v/>
      </c>
      <c r="N884" s="25" t="str">
        <f aca="false">IF(OR(I884="",J884="",I884=G884),"",IF(E884="Buy",(J884-I884)/(I884-G884),(I884-J884)/(G884-I884)))</f>
        <v/>
      </c>
      <c r="O884" s="2" t="str">
        <f aca="false">IF(OR(B884="",K884=""),"",IFERROR(K884-B884,""))</f>
        <v/>
      </c>
      <c r="P884" s="2" t="str">
        <f aca="false">IF(M884="","",IF(M884&gt;0,1,0))</f>
        <v/>
      </c>
    </row>
    <row r="885" customFormat="false" ht="15" hidden="false" customHeight="false" outlineLevel="0" collapsed="false">
      <c r="M885" s="24" t="str">
        <f aca="false">IF(OR(I885="",J885=""),"",IF(E885="Buy",(J885-I885)/I885,(I885-J885)/I885))</f>
        <v/>
      </c>
      <c r="N885" s="25" t="str">
        <f aca="false">IF(OR(I885="",J885="",I885=G885),"",IF(E885="Buy",(J885-I885)/(I885-G885),(I885-J885)/(G885-I885)))</f>
        <v/>
      </c>
      <c r="O885" s="2" t="str">
        <f aca="false">IF(OR(B885="",K885=""),"",IFERROR(K885-B885,""))</f>
        <v/>
      </c>
      <c r="P885" s="2" t="str">
        <f aca="false">IF(M885="","",IF(M885&gt;0,1,0))</f>
        <v/>
      </c>
    </row>
    <row r="886" customFormat="false" ht="15" hidden="false" customHeight="false" outlineLevel="0" collapsed="false">
      <c r="M886" s="24" t="str">
        <f aca="false">IF(OR(I886="",J886=""),"",IF(E886="Buy",(J886-I886)/I886,(I886-J886)/I886))</f>
        <v/>
      </c>
      <c r="N886" s="25" t="str">
        <f aca="false">IF(OR(I886="",J886="",I886=G886),"",IF(E886="Buy",(J886-I886)/(I886-G886),(I886-J886)/(G886-I886)))</f>
        <v/>
      </c>
      <c r="O886" s="2" t="str">
        <f aca="false">IF(OR(B886="",K886=""),"",IFERROR(K886-B886,""))</f>
        <v/>
      </c>
      <c r="P886" s="2" t="str">
        <f aca="false">IF(M886="","",IF(M886&gt;0,1,0))</f>
        <v/>
      </c>
    </row>
    <row r="887" customFormat="false" ht="15" hidden="false" customHeight="false" outlineLevel="0" collapsed="false">
      <c r="M887" s="24" t="str">
        <f aca="false">IF(OR(I887="",J887=""),"",IF(E887="Buy",(J887-I887)/I887,(I887-J887)/I887))</f>
        <v/>
      </c>
      <c r="N887" s="25" t="str">
        <f aca="false">IF(OR(I887="",J887="",I887=G887),"",IF(E887="Buy",(J887-I887)/(I887-G887),(I887-J887)/(G887-I887)))</f>
        <v/>
      </c>
      <c r="O887" s="2" t="str">
        <f aca="false">IF(OR(B887="",K887=""),"",IFERROR(K887-B887,""))</f>
        <v/>
      </c>
      <c r="P887" s="2" t="str">
        <f aca="false">IF(M887="","",IF(M887&gt;0,1,0))</f>
        <v/>
      </c>
    </row>
    <row r="888" customFormat="false" ht="15" hidden="false" customHeight="false" outlineLevel="0" collapsed="false">
      <c r="M888" s="24" t="str">
        <f aca="false">IF(OR(I888="",J888=""),"",IF(E888="Buy",(J888-I888)/I888,(I888-J888)/I888))</f>
        <v/>
      </c>
      <c r="N888" s="25" t="str">
        <f aca="false">IF(OR(I888="",J888="",I888=G888),"",IF(E888="Buy",(J888-I888)/(I888-G888),(I888-J888)/(G888-I888)))</f>
        <v/>
      </c>
      <c r="O888" s="2" t="str">
        <f aca="false">IF(OR(B888="",K888=""),"",IFERROR(K888-B888,""))</f>
        <v/>
      </c>
      <c r="P888" s="2" t="str">
        <f aca="false">IF(M888="","",IF(M888&gt;0,1,0))</f>
        <v/>
      </c>
    </row>
    <row r="889" customFormat="false" ht="15" hidden="false" customHeight="false" outlineLevel="0" collapsed="false">
      <c r="M889" s="24" t="str">
        <f aca="false">IF(OR(I889="",J889=""),"",IF(E889="Buy",(J889-I889)/I889,(I889-J889)/I889))</f>
        <v/>
      </c>
      <c r="N889" s="25" t="str">
        <f aca="false">IF(OR(I889="",J889="",I889=G889),"",IF(E889="Buy",(J889-I889)/(I889-G889),(I889-J889)/(G889-I889)))</f>
        <v/>
      </c>
      <c r="O889" s="2" t="str">
        <f aca="false">IF(OR(B889="",K889=""),"",IFERROR(K889-B889,""))</f>
        <v/>
      </c>
      <c r="P889" s="2" t="str">
        <f aca="false">IF(M889="","",IF(M889&gt;0,1,0))</f>
        <v/>
      </c>
    </row>
    <row r="890" customFormat="false" ht="15" hidden="false" customHeight="false" outlineLevel="0" collapsed="false">
      <c r="M890" s="24" t="str">
        <f aca="false">IF(OR(I890="",J890=""),"",IF(E890="Buy",(J890-I890)/I890,(I890-J890)/I890))</f>
        <v/>
      </c>
      <c r="N890" s="25" t="str">
        <f aca="false">IF(OR(I890="",J890="",I890=G890),"",IF(E890="Buy",(J890-I890)/(I890-G890),(I890-J890)/(G890-I890)))</f>
        <v/>
      </c>
      <c r="O890" s="2" t="str">
        <f aca="false">IF(OR(B890="",K890=""),"",IFERROR(K890-B890,""))</f>
        <v/>
      </c>
      <c r="P890" s="2" t="str">
        <f aca="false">IF(M890="","",IF(M890&gt;0,1,0))</f>
        <v/>
      </c>
    </row>
    <row r="891" customFormat="false" ht="15" hidden="false" customHeight="false" outlineLevel="0" collapsed="false">
      <c r="M891" s="24" t="str">
        <f aca="false">IF(OR(I891="",J891=""),"",IF(E891="Buy",(J891-I891)/I891,(I891-J891)/I891))</f>
        <v/>
      </c>
      <c r="N891" s="25" t="str">
        <f aca="false">IF(OR(I891="",J891="",I891=G891),"",IF(E891="Buy",(J891-I891)/(I891-G891),(I891-J891)/(G891-I891)))</f>
        <v/>
      </c>
      <c r="O891" s="2" t="str">
        <f aca="false">IF(OR(B891="",K891=""),"",IFERROR(K891-B891,""))</f>
        <v/>
      </c>
      <c r="P891" s="2" t="str">
        <f aca="false">IF(M891="","",IF(M891&gt;0,1,0))</f>
        <v/>
      </c>
    </row>
    <row r="892" customFormat="false" ht="15" hidden="false" customHeight="false" outlineLevel="0" collapsed="false">
      <c r="M892" s="24" t="str">
        <f aca="false">IF(OR(I892="",J892=""),"",IF(E892="Buy",(J892-I892)/I892,(I892-J892)/I892))</f>
        <v/>
      </c>
      <c r="N892" s="25" t="str">
        <f aca="false">IF(OR(I892="",J892="",I892=G892),"",IF(E892="Buy",(J892-I892)/(I892-G892),(I892-J892)/(G892-I892)))</f>
        <v/>
      </c>
      <c r="O892" s="2" t="str">
        <f aca="false">IF(OR(B892="",K892=""),"",IFERROR(K892-B892,""))</f>
        <v/>
      </c>
      <c r="P892" s="2" t="str">
        <f aca="false">IF(M892="","",IF(M892&gt;0,1,0))</f>
        <v/>
      </c>
    </row>
    <row r="893" customFormat="false" ht="15" hidden="false" customHeight="false" outlineLevel="0" collapsed="false">
      <c r="M893" s="24" t="str">
        <f aca="false">IF(OR(I893="",J893=""),"",IF(E893="Buy",(J893-I893)/I893,(I893-J893)/I893))</f>
        <v/>
      </c>
      <c r="N893" s="25" t="str">
        <f aca="false">IF(OR(I893="",J893="",I893=G893),"",IF(E893="Buy",(J893-I893)/(I893-G893),(I893-J893)/(G893-I893)))</f>
        <v/>
      </c>
      <c r="O893" s="2" t="str">
        <f aca="false">IF(OR(B893="",K893=""),"",IFERROR(K893-B893,""))</f>
        <v/>
      </c>
      <c r="P893" s="2" t="str">
        <f aca="false">IF(M893="","",IF(M893&gt;0,1,0))</f>
        <v/>
      </c>
    </row>
    <row r="894" customFormat="false" ht="15" hidden="false" customHeight="false" outlineLevel="0" collapsed="false">
      <c r="M894" s="24" t="str">
        <f aca="false">IF(OR(I894="",J894=""),"",IF(E894="Buy",(J894-I894)/I894,(I894-J894)/I894))</f>
        <v/>
      </c>
      <c r="N894" s="25" t="str">
        <f aca="false">IF(OR(I894="",J894="",I894=G894),"",IF(E894="Buy",(J894-I894)/(I894-G894),(I894-J894)/(G894-I894)))</f>
        <v/>
      </c>
      <c r="O894" s="2" t="str">
        <f aca="false">IF(OR(B894="",K894=""),"",IFERROR(K894-B894,""))</f>
        <v/>
      </c>
      <c r="P894" s="2" t="str">
        <f aca="false">IF(M894="","",IF(M894&gt;0,1,0))</f>
        <v/>
      </c>
    </row>
    <row r="895" customFormat="false" ht="15" hidden="false" customHeight="false" outlineLevel="0" collapsed="false">
      <c r="M895" s="24" t="str">
        <f aca="false">IF(OR(I895="",J895=""),"",IF(E895="Buy",(J895-I895)/I895,(I895-J895)/I895))</f>
        <v/>
      </c>
      <c r="N895" s="25" t="str">
        <f aca="false">IF(OR(I895="",J895="",I895=G895),"",IF(E895="Buy",(J895-I895)/(I895-G895),(I895-J895)/(G895-I895)))</f>
        <v/>
      </c>
      <c r="O895" s="2" t="str">
        <f aca="false">IF(OR(B895="",K895=""),"",IFERROR(K895-B895,""))</f>
        <v/>
      </c>
      <c r="P895" s="2" t="str">
        <f aca="false">IF(M895="","",IF(M895&gt;0,1,0))</f>
        <v/>
      </c>
    </row>
    <row r="896" customFormat="false" ht="15" hidden="false" customHeight="false" outlineLevel="0" collapsed="false">
      <c r="M896" s="24" t="str">
        <f aca="false">IF(OR(I896="",J896=""),"",IF(E896="Buy",(J896-I896)/I896,(I896-J896)/I896))</f>
        <v/>
      </c>
      <c r="N896" s="25" t="str">
        <f aca="false">IF(OR(I896="",J896="",I896=G896),"",IF(E896="Buy",(J896-I896)/(I896-G896),(I896-J896)/(G896-I896)))</f>
        <v/>
      </c>
      <c r="O896" s="2" t="str">
        <f aca="false">IF(OR(B896="",K896=""),"",IFERROR(K896-B896,""))</f>
        <v/>
      </c>
      <c r="P896" s="2" t="str">
        <f aca="false">IF(M896="","",IF(M896&gt;0,1,0))</f>
        <v/>
      </c>
    </row>
    <row r="897" customFormat="false" ht="15" hidden="false" customHeight="false" outlineLevel="0" collapsed="false">
      <c r="M897" s="24" t="str">
        <f aca="false">IF(OR(I897="",J897=""),"",IF(E897="Buy",(J897-I897)/I897,(I897-J897)/I897))</f>
        <v/>
      </c>
      <c r="N897" s="25" t="str">
        <f aca="false">IF(OR(I897="",J897="",I897=G897),"",IF(E897="Buy",(J897-I897)/(I897-G897),(I897-J897)/(G897-I897)))</f>
        <v/>
      </c>
      <c r="O897" s="2" t="str">
        <f aca="false">IF(OR(B897="",K897=""),"",IFERROR(K897-B897,""))</f>
        <v/>
      </c>
      <c r="P897" s="2" t="str">
        <f aca="false">IF(M897="","",IF(M897&gt;0,1,0))</f>
        <v/>
      </c>
    </row>
    <row r="898" customFormat="false" ht="15" hidden="false" customHeight="false" outlineLevel="0" collapsed="false">
      <c r="M898" s="24" t="str">
        <f aca="false">IF(OR(I898="",J898=""),"",IF(E898="Buy",(J898-I898)/I898,(I898-J898)/I898))</f>
        <v/>
      </c>
      <c r="N898" s="25" t="str">
        <f aca="false">IF(OR(I898="",J898="",I898=G898),"",IF(E898="Buy",(J898-I898)/(I898-G898),(I898-J898)/(G898-I898)))</f>
        <v/>
      </c>
      <c r="O898" s="2" t="str">
        <f aca="false">IF(OR(B898="",K898=""),"",IFERROR(K898-B898,""))</f>
        <v/>
      </c>
      <c r="P898" s="2" t="str">
        <f aca="false">IF(M898="","",IF(M898&gt;0,1,0))</f>
        <v/>
      </c>
    </row>
    <row r="899" customFormat="false" ht="15" hidden="false" customHeight="false" outlineLevel="0" collapsed="false">
      <c r="M899" s="24" t="str">
        <f aca="false">IF(OR(I899="",J899=""),"",IF(E899="Buy",(J899-I899)/I899,(I899-J899)/I899))</f>
        <v/>
      </c>
      <c r="N899" s="25" t="str">
        <f aca="false">IF(OR(I899="",J899="",I899=G899),"",IF(E899="Buy",(J899-I899)/(I899-G899),(I899-J899)/(G899-I899)))</f>
        <v/>
      </c>
      <c r="O899" s="2" t="str">
        <f aca="false">IF(OR(B899="",K899=""),"",IFERROR(K899-B899,""))</f>
        <v/>
      </c>
      <c r="P899" s="2" t="str">
        <f aca="false">IF(M899="","",IF(M899&gt;0,1,0))</f>
        <v/>
      </c>
    </row>
    <row r="900" customFormat="false" ht="15" hidden="false" customHeight="false" outlineLevel="0" collapsed="false">
      <c r="M900" s="24" t="str">
        <f aca="false">IF(OR(I900="",J900=""),"",IF(E900="Buy",(J900-I900)/I900,(I900-J900)/I900))</f>
        <v/>
      </c>
      <c r="N900" s="25" t="str">
        <f aca="false">IF(OR(I900="",J900="",I900=G900),"",IF(E900="Buy",(J900-I900)/(I900-G900),(I900-J900)/(G900-I900)))</f>
        <v/>
      </c>
      <c r="O900" s="2" t="str">
        <f aca="false">IF(OR(B900="",K900=""),"",IFERROR(K900-B900,""))</f>
        <v/>
      </c>
      <c r="P900" s="2" t="str">
        <f aca="false">IF(M900="","",IF(M900&gt;0,1,0))</f>
        <v/>
      </c>
    </row>
    <row r="901" customFormat="false" ht="15" hidden="false" customHeight="false" outlineLevel="0" collapsed="false">
      <c r="M901" s="24" t="str">
        <f aca="false">IF(OR(I901="",J901=""),"",IF(E901="Buy",(J901-I901)/I901,(I901-J901)/I901))</f>
        <v/>
      </c>
      <c r="N901" s="25" t="str">
        <f aca="false">IF(OR(I901="",J901="",I901=G901),"",IF(E901="Buy",(J901-I901)/(I901-G901),(I901-J901)/(G901-I901)))</f>
        <v/>
      </c>
      <c r="O901" s="2" t="str">
        <f aca="false">IF(OR(B901="",K901=""),"",IFERROR(K901-B901,""))</f>
        <v/>
      </c>
      <c r="P901" s="2" t="str">
        <f aca="false">IF(M901="","",IF(M901&gt;0,1,0))</f>
        <v/>
      </c>
    </row>
    <row r="902" customFormat="false" ht="15" hidden="false" customHeight="false" outlineLevel="0" collapsed="false">
      <c r="M902" s="24" t="str">
        <f aca="false">IF(OR(I902="",J902=""),"",IF(E902="Buy",(J902-I902)/I902,(I902-J902)/I902))</f>
        <v/>
      </c>
      <c r="N902" s="25" t="str">
        <f aca="false">IF(OR(I902="",J902="",I902=G902),"",IF(E902="Buy",(J902-I902)/(I902-G902),(I902-J902)/(G902-I902)))</f>
        <v/>
      </c>
      <c r="O902" s="2" t="str">
        <f aca="false">IF(OR(B902="",K902=""),"",IFERROR(K902-B902,""))</f>
        <v/>
      </c>
      <c r="P902" s="2" t="str">
        <f aca="false">IF(M902="","",IF(M902&gt;0,1,0))</f>
        <v/>
      </c>
    </row>
    <row r="903" customFormat="false" ht="15" hidden="false" customHeight="false" outlineLevel="0" collapsed="false">
      <c r="M903" s="24" t="str">
        <f aca="false">IF(OR(I903="",J903=""),"",IF(E903="Buy",(J903-I903)/I903,(I903-J903)/I903))</f>
        <v/>
      </c>
      <c r="N903" s="25" t="str">
        <f aca="false">IF(OR(I903="",J903="",I903=G903),"",IF(E903="Buy",(J903-I903)/(I903-G903),(I903-J903)/(G903-I903)))</f>
        <v/>
      </c>
      <c r="O903" s="2" t="str">
        <f aca="false">IF(OR(B903="",K903=""),"",IFERROR(K903-B903,""))</f>
        <v/>
      </c>
      <c r="P903" s="2" t="str">
        <f aca="false">IF(M903="","",IF(M903&gt;0,1,0))</f>
        <v/>
      </c>
    </row>
    <row r="904" customFormat="false" ht="15" hidden="false" customHeight="false" outlineLevel="0" collapsed="false">
      <c r="M904" s="24" t="str">
        <f aca="false">IF(OR(I904="",J904=""),"",IF(E904="Buy",(J904-I904)/I904,(I904-J904)/I904))</f>
        <v/>
      </c>
      <c r="N904" s="25" t="str">
        <f aca="false">IF(OR(I904="",J904="",I904=G904),"",IF(E904="Buy",(J904-I904)/(I904-G904),(I904-J904)/(G904-I904)))</f>
        <v/>
      </c>
      <c r="O904" s="2" t="str">
        <f aca="false">IF(OR(B904="",K904=""),"",IFERROR(K904-B904,""))</f>
        <v/>
      </c>
      <c r="P904" s="2" t="str">
        <f aca="false">IF(M904="","",IF(M904&gt;0,1,0))</f>
        <v/>
      </c>
    </row>
    <row r="905" customFormat="false" ht="15" hidden="false" customHeight="false" outlineLevel="0" collapsed="false">
      <c r="M905" s="24" t="str">
        <f aca="false">IF(OR(I905="",J905=""),"",IF(E905="Buy",(J905-I905)/I905,(I905-J905)/I905))</f>
        <v/>
      </c>
      <c r="N905" s="25" t="str">
        <f aca="false">IF(OR(I905="",J905="",I905=G905),"",IF(E905="Buy",(J905-I905)/(I905-G905),(I905-J905)/(G905-I905)))</f>
        <v/>
      </c>
      <c r="O905" s="2" t="str">
        <f aca="false">IF(OR(B905="",K905=""),"",IFERROR(K905-B905,""))</f>
        <v/>
      </c>
      <c r="P905" s="2" t="str">
        <f aca="false">IF(M905="","",IF(M905&gt;0,1,0))</f>
        <v/>
      </c>
    </row>
    <row r="906" customFormat="false" ht="15" hidden="false" customHeight="false" outlineLevel="0" collapsed="false">
      <c r="M906" s="24" t="str">
        <f aca="false">IF(OR(I906="",J906=""),"",IF(E906="Buy",(J906-I906)/I906,(I906-J906)/I906))</f>
        <v/>
      </c>
      <c r="N906" s="25" t="str">
        <f aca="false">IF(OR(I906="",J906="",I906=G906),"",IF(E906="Buy",(J906-I906)/(I906-G906),(I906-J906)/(G906-I906)))</f>
        <v/>
      </c>
      <c r="O906" s="2" t="str">
        <f aca="false">IF(OR(B906="",K906=""),"",IFERROR(K906-B906,""))</f>
        <v/>
      </c>
      <c r="P906" s="2" t="str">
        <f aca="false">IF(M906="","",IF(M906&gt;0,1,0))</f>
        <v/>
      </c>
    </row>
    <row r="907" customFormat="false" ht="15" hidden="false" customHeight="false" outlineLevel="0" collapsed="false">
      <c r="M907" s="24" t="str">
        <f aca="false">IF(OR(I907="",J907=""),"",IF(E907="Buy",(J907-I907)/I907,(I907-J907)/I907))</f>
        <v/>
      </c>
      <c r="N907" s="25" t="str">
        <f aca="false">IF(OR(I907="",J907="",I907=G907),"",IF(E907="Buy",(J907-I907)/(I907-G907),(I907-J907)/(G907-I907)))</f>
        <v/>
      </c>
      <c r="O907" s="2" t="str">
        <f aca="false">IF(OR(B907="",K907=""),"",IFERROR(K907-B907,""))</f>
        <v/>
      </c>
      <c r="P907" s="2" t="str">
        <f aca="false">IF(M907="","",IF(M907&gt;0,1,0))</f>
        <v/>
      </c>
    </row>
    <row r="908" customFormat="false" ht="15" hidden="false" customHeight="false" outlineLevel="0" collapsed="false">
      <c r="M908" s="24" t="str">
        <f aca="false">IF(OR(I908="",J908=""),"",IF(E908="Buy",(J908-I908)/I908,(I908-J908)/I908))</f>
        <v/>
      </c>
      <c r="N908" s="25" t="str">
        <f aca="false">IF(OR(I908="",J908="",I908=G908),"",IF(E908="Buy",(J908-I908)/(I908-G908),(I908-J908)/(G908-I908)))</f>
        <v/>
      </c>
      <c r="O908" s="2" t="str">
        <f aca="false">IF(OR(B908="",K908=""),"",IFERROR(K908-B908,""))</f>
        <v/>
      </c>
      <c r="P908" s="2" t="str">
        <f aca="false">IF(M908="","",IF(M908&gt;0,1,0))</f>
        <v/>
      </c>
    </row>
    <row r="909" customFormat="false" ht="15" hidden="false" customHeight="false" outlineLevel="0" collapsed="false">
      <c r="M909" s="24" t="str">
        <f aca="false">IF(OR(I909="",J909=""),"",IF(E909="Buy",(J909-I909)/I909,(I909-J909)/I909))</f>
        <v/>
      </c>
      <c r="N909" s="25" t="str">
        <f aca="false">IF(OR(I909="",J909="",I909=G909),"",IF(E909="Buy",(J909-I909)/(I909-G909),(I909-J909)/(G909-I909)))</f>
        <v/>
      </c>
      <c r="O909" s="2" t="str">
        <f aca="false">IF(OR(B909="",K909=""),"",IFERROR(K909-B909,""))</f>
        <v/>
      </c>
      <c r="P909" s="2" t="str">
        <f aca="false">IF(M909="","",IF(M909&gt;0,1,0))</f>
        <v/>
      </c>
    </row>
    <row r="910" customFormat="false" ht="15" hidden="false" customHeight="false" outlineLevel="0" collapsed="false">
      <c r="M910" s="24" t="str">
        <f aca="false">IF(OR(I910="",J910=""),"",IF(E910="Buy",(J910-I910)/I910,(I910-J910)/I910))</f>
        <v/>
      </c>
      <c r="N910" s="25" t="str">
        <f aca="false">IF(OR(I910="",J910="",I910=G910),"",IF(E910="Buy",(J910-I910)/(I910-G910),(I910-J910)/(G910-I910)))</f>
        <v/>
      </c>
      <c r="O910" s="2" t="str">
        <f aca="false">IF(OR(B910="",K910=""),"",IFERROR(K910-B910,""))</f>
        <v/>
      </c>
      <c r="P910" s="2" t="str">
        <f aca="false">IF(M910="","",IF(M910&gt;0,1,0))</f>
        <v/>
      </c>
    </row>
    <row r="911" customFormat="false" ht="15" hidden="false" customHeight="false" outlineLevel="0" collapsed="false">
      <c r="M911" s="24" t="str">
        <f aca="false">IF(OR(I911="",J911=""),"",IF(E911="Buy",(J911-I911)/I911,(I911-J911)/I911))</f>
        <v/>
      </c>
      <c r="N911" s="25" t="str">
        <f aca="false">IF(OR(I911="",J911="",I911=G911),"",IF(E911="Buy",(J911-I911)/(I911-G911),(I911-J911)/(G911-I911)))</f>
        <v/>
      </c>
      <c r="O911" s="2" t="str">
        <f aca="false">IF(OR(B911="",K911=""),"",IFERROR(K911-B911,""))</f>
        <v/>
      </c>
      <c r="P911" s="2" t="str">
        <f aca="false">IF(M911="","",IF(M911&gt;0,1,0))</f>
        <v/>
      </c>
    </row>
    <row r="912" customFormat="false" ht="15" hidden="false" customHeight="false" outlineLevel="0" collapsed="false">
      <c r="M912" s="24" t="str">
        <f aca="false">IF(OR(I912="",J912=""),"",IF(E912="Buy",(J912-I912)/I912,(I912-J912)/I912))</f>
        <v/>
      </c>
      <c r="N912" s="25" t="str">
        <f aca="false">IF(OR(I912="",J912="",I912=G912),"",IF(E912="Buy",(J912-I912)/(I912-G912),(I912-J912)/(G912-I912)))</f>
        <v/>
      </c>
      <c r="O912" s="2" t="str">
        <f aca="false">IF(OR(B912="",K912=""),"",IFERROR(K912-B912,""))</f>
        <v/>
      </c>
      <c r="P912" s="2" t="str">
        <f aca="false">IF(M912="","",IF(M912&gt;0,1,0))</f>
        <v/>
      </c>
    </row>
    <row r="913" customFormat="false" ht="15" hidden="false" customHeight="false" outlineLevel="0" collapsed="false">
      <c r="M913" s="24" t="str">
        <f aca="false">IF(OR(I913="",J913=""),"",IF(E913="Buy",(J913-I913)/I913,(I913-J913)/I913))</f>
        <v/>
      </c>
      <c r="N913" s="25" t="str">
        <f aca="false">IF(OR(I913="",J913="",I913=G913),"",IF(E913="Buy",(J913-I913)/(I913-G913),(I913-J913)/(G913-I913)))</f>
        <v/>
      </c>
      <c r="O913" s="2" t="str">
        <f aca="false">IF(OR(B913="",K913=""),"",IFERROR(K913-B913,""))</f>
        <v/>
      </c>
      <c r="P913" s="2" t="str">
        <f aca="false">IF(M913="","",IF(M913&gt;0,1,0))</f>
        <v/>
      </c>
    </row>
    <row r="914" customFormat="false" ht="15" hidden="false" customHeight="false" outlineLevel="0" collapsed="false">
      <c r="M914" s="24" t="str">
        <f aca="false">IF(OR(I914="",J914=""),"",IF(E914="Buy",(J914-I914)/I914,(I914-J914)/I914))</f>
        <v/>
      </c>
      <c r="N914" s="25" t="str">
        <f aca="false">IF(OR(I914="",J914="",I914=G914),"",IF(E914="Buy",(J914-I914)/(I914-G914),(I914-J914)/(G914-I914)))</f>
        <v/>
      </c>
      <c r="O914" s="2" t="str">
        <f aca="false">IF(OR(B914="",K914=""),"",IFERROR(K914-B914,""))</f>
        <v/>
      </c>
      <c r="P914" s="2" t="str">
        <f aca="false">IF(M914="","",IF(M914&gt;0,1,0))</f>
        <v/>
      </c>
    </row>
    <row r="915" customFormat="false" ht="15" hidden="false" customHeight="false" outlineLevel="0" collapsed="false">
      <c r="M915" s="24" t="str">
        <f aca="false">IF(OR(I915="",J915=""),"",IF(E915="Buy",(J915-I915)/I915,(I915-J915)/I915))</f>
        <v/>
      </c>
      <c r="N915" s="25" t="str">
        <f aca="false">IF(OR(I915="",J915="",I915=G915),"",IF(E915="Buy",(J915-I915)/(I915-G915),(I915-J915)/(G915-I915)))</f>
        <v/>
      </c>
      <c r="O915" s="2" t="str">
        <f aca="false">IF(OR(B915="",K915=""),"",IFERROR(K915-B915,""))</f>
        <v/>
      </c>
      <c r="P915" s="2" t="str">
        <f aca="false">IF(M915="","",IF(M915&gt;0,1,0))</f>
        <v/>
      </c>
    </row>
    <row r="916" customFormat="false" ht="15" hidden="false" customHeight="false" outlineLevel="0" collapsed="false">
      <c r="M916" s="24" t="str">
        <f aca="false">IF(OR(I916="",J916=""),"",IF(E916="Buy",(J916-I916)/I916,(I916-J916)/I916))</f>
        <v/>
      </c>
      <c r="N916" s="25" t="str">
        <f aca="false">IF(OR(I916="",J916="",I916=G916),"",IF(E916="Buy",(J916-I916)/(I916-G916),(I916-J916)/(G916-I916)))</f>
        <v/>
      </c>
      <c r="O916" s="2" t="str">
        <f aca="false">IF(OR(B916="",K916=""),"",IFERROR(K916-B916,""))</f>
        <v/>
      </c>
      <c r="P916" s="2" t="str">
        <f aca="false">IF(M916="","",IF(M916&gt;0,1,0))</f>
        <v/>
      </c>
    </row>
    <row r="917" customFormat="false" ht="15" hidden="false" customHeight="false" outlineLevel="0" collapsed="false">
      <c r="M917" s="24" t="str">
        <f aca="false">IF(OR(I917="",J917=""),"",IF(E917="Buy",(J917-I917)/I917,(I917-J917)/I917))</f>
        <v/>
      </c>
      <c r="N917" s="25" t="str">
        <f aca="false">IF(OR(I917="",J917="",I917=G917),"",IF(E917="Buy",(J917-I917)/(I917-G917),(I917-J917)/(G917-I917)))</f>
        <v/>
      </c>
      <c r="O917" s="2" t="str">
        <f aca="false">IF(OR(B917="",K917=""),"",IFERROR(K917-B917,""))</f>
        <v/>
      </c>
      <c r="P917" s="2" t="str">
        <f aca="false">IF(M917="","",IF(M917&gt;0,1,0))</f>
        <v/>
      </c>
    </row>
    <row r="918" customFormat="false" ht="15" hidden="false" customHeight="false" outlineLevel="0" collapsed="false">
      <c r="M918" s="24" t="str">
        <f aca="false">IF(OR(I918="",J918=""),"",IF(E918="Buy",(J918-I918)/I918,(I918-J918)/I918))</f>
        <v/>
      </c>
      <c r="N918" s="25" t="str">
        <f aca="false">IF(OR(I918="",J918="",I918=G918),"",IF(E918="Buy",(J918-I918)/(I918-G918),(I918-J918)/(G918-I918)))</f>
        <v/>
      </c>
      <c r="O918" s="2" t="str">
        <f aca="false">IF(OR(B918="",K918=""),"",IFERROR(K918-B918,""))</f>
        <v/>
      </c>
      <c r="P918" s="2" t="str">
        <f aca="false">IF(M918="","",IF(M918&gt;0,1,0))</f>
        <v/>
      </c>
    </row>
    <row r="919" customFormat="false" ht="15" hidden="false" customHeight="false" outlineLevel="0" collapsed="false">
      <c r="M919" s="24" t="str">
        <f aca="false">IF(OR(I919="",J919=""),"",IF(E919="Buy",(J919-I919)/I919,(I919-J919)/I919))</f>
        <v/>
      </c>
      <c r="N919" s="25" t="str">
        <f aca="false">IF(OR(I919="",J919="",I919=G919),"",IF(E919="Buy",(J919-I919)/(I919-G919),(I919-J919)/(G919-I919)))</f>
        <v/>
      </c>
      <c r="O919" s="2" t="str">
        <f aca="false">IF(OR(B919="",K919=""),"",IFERROR(K919-B919,""))</f>
        <v/>
      </c>
      <c r="P919" s="2" t="str">
        <f aca="false">IF(M919="","",IF(M919&gt;0,1,0))</f>
        <v/>
      </c>
    </row>
    <row r="920" customFormat="false" ht="15" hidden="false" customHeight="false" outlineLevel="0" collapsed="false">
      <c r="M920" s="24" t="str">
        <f aca="false">IF(OR(I920="",J920=""),"",IF(E920="Buy",(J920-I920)/I920,(I920-J920)/I920))</f>
        <v/>
      </c>
      <c r="N920" s="25" t="str">
        <f aca="false">IF(OR(I920="",J920="",I920=G920),"",IF(E920="Buy",(J920-I920)/(I920-G920),(I920-J920)/(G920-I920)))</f>
        <v/>
      </c>
      <c r="O920" s="2" t="str">
        <f aca="false">IF(OR(B920="",K920=""),"",IFERROR(K920-B920,""))</f>
        <v/>
      </c>
      <c r="P920" s="2" t="str">
        <f aca="false">IF(M920="","",IF(M920&gt;0,1,0))</f>
        <v/>
      </c>
    </row>
    <row r="921" customFormat="false" ht="15" hidden="false" customHeight="false" outlineLevel="0" collapsed="false">
      <c r="M921" s="24" t="str">
        <f aca="false">IF(OR(I921="",J921=""),"",IF(E921="Buy",(J921-I921)/I921,(I921-J921)/I921))</f>
        <v/>
      </c>
      <c r="N921" s="25" t="str">
        <f aca="false">IF(OR(I921="",J921="",I921=G921),"",IF(E921="Buy",(J921-I921)/(I921-G921),(I921-J921)/(G921-I921)))</f>
        <v/>
      </c>
      <c r="O921" s="2" t="str">
        <f aca="false">IF(OR(B921="",K921=""),"",IFERROR(K921-B921,""))</f>
        <v/>
      </c>
      <c r="P921" s="2" t="str">
        <f aca="false">IF(M921="","",IF(M921&gt;0,1,0))</f>
        <v/>
      </c>
    </row>
    <row r="922" customFormat="false" ht="15" hidden="false" customHeight="false" outlineLevel="0" collapsed="false">
      <c r="M922" s="24" t="str">
        <f aca="false">IF(OR(I922="",J922=""),"",IF(E922="Buy",(J922-I922)/I922,(I922-J922)/I922))</f>
        <v/>
      </c>
      <c r="N922" s="25" t="str">
        <f aca="false">IF(OR(I922="",J922="",I922=G922),"",IF(E922="Buy",(J922-I922)/(I922-G922),(I922-J922)/(G922-I922)))</f>
        <v/>
      </c>
      <c r="O922" s="2" t="str">
        <f aca="false">IF(OR(B922="",K922=""),"",IFERROR(K922-B922,""))</f>
        <v/>
      </c>
      <c r="P922" s="2" t="str">
        <f aca="false">IF(M922="","",IF(M922&gt;0,1,0))</f>
        <v/>
      </c>
    </row>
    <row r="923" customFormat="false" ht="15" hidden="false" customHeight="false" outlineLevel="0" collapsed="false">
      <c r="M923" s="24" t="str">
        <f aca="false">IF(OR(I923="",J923=""),"",IF(E923="Buy",(J923-I923)/I923,(I923-J923)/I923))</f>
        <v/>
      </c>
      <c r="N923" s="25" t="str">
        <f aca="false">IF(OR(I923="",J923="",I923=G923),"",IF(E923="Buy",(J923-I923)/(I923-G923),(I923-J923)/(G923-I923)))</f>
        <v/>
      </c>
      <c r="O923" s="2" t="str">
        <f aca="false">IF(OR(B923="",K923=""),"",IFERROR(K923-B923,""))</f>
        <v/>
      </c>
      <c r="P923" s="2" t="str">
        <f aca="false">IF(M923="","",IF(M923&gt;0,1,0))</f>
        <v/>
      </c>
    </row>
    <row r="924" customFormat="false" ht="15" hidden="false" customHeight="false" outlineLevel="0" collapsed="false">
      <c r="M924" s="24" t="str">
        <f aca="false">IF(OR(I924="",J924=""),"",IF(E924="Buy",(J924-I924)/I924,(I924-J924)/I924))</f>
        <v/>
      </c>
      <c r="N924" s="25" t="str">
        <f aca="false">IF(OR(I924="",J924="",I924=G924),"",IF(E924="Buy",(J924-I924)/(I924-G924),(I924-J924)/(G924-I924)))</f>
        <v/>
      </c>
      <c r="O924" s="2" t="str">
        <f aca="false">IF(OR(B924="",K924=""),"",IFERROR(K924-B924,""))</f>
        <v/>
      </c>
      <c r="P924" s="2" t="str">
        <f aca="false">IF(M924="","",IF(M924&gt;0,1,0))</f>
        <v/>
      </c>
    </row>
    <row r="925" customFormat="false" ht="15" hidden="false" customHeight="false" outlineLevel="0" collapsed="false">
      <c r="M925" s="24" t="str">
        <f aca="false">IF(OR(I925="",J925=""),"",IF(E925="Buy",(J925-I925)/I925,(I925-J925)/I925))</f>
        <v/>
      </c>
      <c r="N925" s="25" t="str">
        <f aca="false">IF(OR(I925="",J925="",I925=G925),"",IF(E925="Buy",(J925-I925)/(I925-G925),(I925-J925)/(G925-I925)))</f>
        <v/>
      </c>
      <c r="O925" s="2" t="str">
        <f aca="false">IF(OR(B925="",K925=""),"",IFERROR(K925-B925,""))</f>
        <v/>
      </c>
      <c r="P925" s="2" t="str">
        <f aca="false">IF(M925="","",IF(M925&gt;0,1,0))</f>
        <v/>
      </c>
    </row>
    <row r="926" customFormat="false" ht="15" hidden="false" customHeight="false" outlineLevel="0" collapsed="false">
      <c r="M926" s="24" t="str">
        <f aca="false">IF(OR(I926="",J926=""),"",IF(E926="Buy",(J926-I926)/I926,(I926-J926)/I926))</f>
        <v/>
      </c>
      <c r="N926" s="25" t="str">
        <f aca="false">IF(OR(I926="",J926="",I926=G926),"",IF(E926="Buy",(J926-I926)/(I926-G926),(I926-J926)/(G926-I926)))</f>
        <v/>
      </c>
      <c r="O926" s="2" t="str">
        <f aca="false">IF(OR(B926="",K926=""),"",IFERROR(K926-B926,""))</f>
        <v/>
      </c>
      <c r="P926" s="2" t="str">
        <f aca="false">IF(M926="","",IF(M926&gt;0,1,0))</f>
        <v/>
      </c>
    </row>
    <row r="927" customFormat="false" ht="15" hidden="false" customHeight="false" outlineLevel="0" collapsed="false">
      <c r="M927" s="24" t="str">
        <f aca="false">IF(OR(I927="",J927=""),"",IF(E927="Buy",(J927-I927)/I927,(I927-J927)/I927))</f>
        <v/>
      </c>
      <c r="N927" s="25" t="str">
        <f aca="false">IF(OR(I927="",J927="",I927=G927),"",IF(E927="Buy",(J927-I927)/(I927-G927),(I927-J927)/(G927-I927)))</f>
        <v/>
      </c>
      <c r="O927" s="2" t="str">
        <f aca="false">IF(OR(B927="",K927=""),"",IFERROR(K927-B927,""))</f>
        <v/>
      </c>
      <c r="P927" s="2" t="str">
        <f aca="false">IF(M927="","",IF(M927&gt;0,1,0))</f>
        <v/>
      </c>
    </row>
    <row r="928" customFormat="false" ht="15" hidden="false" customHeight="false" outlineLevel="0" collapsed="false">
      <c r="M928" s="24" t="str">
        <f aca="false">IF(OR(I928="",J928=""),"",IF(E928="Buy",(J928-I928)/I928,(I928-J928)/I928))</f>
        <v/>
      </c>
      <c r="N928" s="25" t="str">
        <f aca="false">IF(OR(I928="",J928="",I928=G928),"",IF(E928="Buy",(J928-I928)/(I928-G928),(I928-J928)/(G928-I928)))</f>
        <v/>
      </c>
      <c r="O928" s="2" t="str">
        <f aca="false">IF(OR(B928="",K928=""),"",IFERROR(K928-B928,""))</f>
        <v/>
      </c>
      <c r="P928" s="2" t="str">
        <f aca="false">IF(M928="","",IF(M928&gt;0,1,0))</f>
        <v/>
      </c>
    </row>
    <row r="929" customFormat="false" ht="15" hidden="false" customHeight="false" outlineLevel="0" collapsed="false">
      <c r="M929" s="24" t="str">
        <f aca="false">IF(OR(I929="",J929=""),"",IF(E929="Buy",(J929-I929)/I929,(I929-J929)/I929))</f>
        <v/>
      </c>
      <c r="N929" s="25" t="str">
        <f aca="false">IF(OR(I929="",J929="",I929=G929),"",IF(E929="Buy",(J929-I929)/(I929-G929),(I929-J929)/(G929-I929)))</f>
        <v/>
      </c>
      <c r="O929" s="2" t="str">
        <f aca="false">IF(OR(B929="",K929=""),"",IFERROR(K929-B929,""))</f>
        <v/>
      </c>
      <c r="P929" s="2" t="str">
        <f aca="false">IF(M929="","",IF(M929&gt;0,1,0))</f>
        <v/>
      </c>
    </row>
    <row r="930" customFormat="false" ht="15" hidden="false" customHeight="false" outlineLevel="0" collapsed="false">
      <c r="M930" s="24" t="str">
        <f aca="false">IF(OR(I930="",J930=""),"",IF(E930="Buy",(J930-I930)/I930,(I930-J930)/I930))</f>
        <v/>
      </c>
      <c r="N930" s="25" t="str">
        <f aca="false">IF(OR(I930="",J930="",I930=G930),"",IF(E930="Buy",(J930-I930)/(I930-G930),(I930-J930)/(G930-I930)))</f>
        <v/>
      </c>
      <c r="O930" s="2" t="str">
        <f aca="false">IF(OR(B930="",K930=""),"",IFERROR(K930-B930,""))</f>
        <v/>
      </c>
      <c r="P930" s="2" t="str">
        <f aca="false">IF(M930="","",IF(M930&gt;0,1,0))</f>
        <v/>
      </c>
    </row>
    <row r="931" customFormat="false" ht="15" hidden="false" customHeight="false" outlineLevel="0" collapsed="false">
      <c r="M931" s="24" t="str">
        <f aca="false">IF(OR(I931="",J931=""),"",IF(E931="Buy",(J931-I931)/I931,(I931-J931)/I931))</f>
        <v/>
      </c>
      <c r="N931" s="25" t="str">
        <f aca="false">IF(OR(I931="",J931="",I931=G931),"",IF(E931="Buy",(J931-I931)/(I931-G931),(I931-J931)/(G931-I931)))</f>
        <v/>
      </c>
      <c r="O931" s="2" t="str">
        <f aca="false">IF(OR(B931="",K931=""),"",IFERROR(K931-B931,""))</f>
        <v/>
      </c>
      <c r="P931" s="2" t="str">
        <f aca="false">IF(M931="","",IF(M931&gt;0,1,0))</f>
        <v/>
      </c>
    </row>
    <row r="932" customFormat="false" ht="15" hidden="false" customHeight="false" outlineLevel="0" collapsed="false">
      <c r="M932" s="24" t="str">
        <f aca="false">IF(OR(I932="",J932=""),"",IF(E932="Buy",(J932-I932)/I932,(I932-J932)/I932))</f>
        <v/>
      </c>
      <c r="N932" s="25" t="str">
        <f aca="false">IF(OR(I932="",J932="",I932=G932),"",IF(E932="Buy",(J932-I932)/(I932-G932),(I932-J932)/(G932-I932)))</f>
        <v/>
      </c>
      <c r="O932" s="2" t="str">
        <f aca="false">IF(OR(B932="",K932=""),"",IFERROR(K932-B932,""))</f>
        <v/>
      </c>
      <c r="P932" s="2" t="str">
        <f aca="false">IF(M932="","",IF(M932&gt;0,1,0))</f>
        <v/>
      </c>
    </row>
    <row r="933" customFormat="false" ht="15" hidden="false" customHeight="false" outlineLevel="0" collapsed="false">
      <c r="M933" s="24" t="str">
        <f aca="false">IF(OR(I933="",J933=""),"",IF(E933="Buy",(J933-I933)/I933,(I933-J933)/I933))</f>
        <v/>
      </c>
      <c r="N933" s="25" t="str">
        <f aca="false">IF(OR(I933="",J933="",I933=G933),"",IF(E933="Buy",(J933-I933)/(I933-G933),(I933-J933)/(G933-I933)))</f>
        <v/>
      </c>
      <c r="O933" s="2" t="str">
        <f aca="false">IF(OR(B933="",K933=""),"",IFERROR(K933-B933,""))</f>
        <v/>
      </c>
      <c r="P933" s="2" t="str">
        <f aca="false">IF(M933="","",IF(M933&gt;0,1,0))</f>
        <v/>
      </c>
    </row>
    <row r="934" customFormat="false" ht="15" hidden="false" customHeight="false" outlineLevel="0" collapsed="false">
      <c r="M934" s="24" t="str">
        <f aca="false">IF(OR(I934="",J934=""),"",IF(E934="Buy",(J934-I934)/I934,(I934-J934)/I934))</f>
        <v/>
      </c>
      <c r="N934" s="25" t="str">
        <f aca="false">IF(OR(I934="",J934="",I934=G934),"",IF(E934="Buy",(J934-I934)/(I934-G934),(I934-J934)/(G934-I934)))</f>
        <v/>
      </c>
      <c r="O934" s="2" t="str">
        <f aca="false">IF(OR(B934="",K934=""),"",IFERROR(K934-B934,""))</f>
        <v/>
      </c>
      <c r="P934" s="2" t="str">
        <f aca="false">IF(M934="","",IF(M934&gt;0,1,0))</f>
        <v/>
      </c>
    </row>
    <row r="935" customFormat="false" ht="15" hidden="false" customHeight="false" outlineLevel="0" collapsed="false">
      <c r="M935" s="24" t="str">
        <f aca="false">IF(OR(I935="",J935=""),"",IF(E935="Buy",(J935-I935)/I935,(I935-J935)/I935))</f>
        <v/>
      </c>
      <c r="N935" s="25" t="str">
        <f aca="false">IF(OR(I935="",J935="",I935=G935),"",IF(E935="Buy",(J935-I935)/(I935-G935),(I935-J935)/(G935-I935)))</f>
        <v/>
      </c>
      <c r="O935" s="2" t="str">
        <f aca="false">IF(OR(B935="",K935=""),"",IFERROR(K935-B935,""))</f>
        <v/>
      </c>
      <c r="P935" s="2" t="str">
        <f aca="false">IF(M935="","",IF(M935&gt;0,1,0))</f>
        <v/>
      </c>
    </row>
    <row r="936" customFormat="false" ht="15" hidden="false" customHeight="false" outlineLevel="0" collapsed="false">
      <c r="M936" s="24" t="str">
        <f aca="false">IF(OR(I936="",J936=""),"",IF(E936="Buy",(J936-I936)/I936,(I936-J936)/I936))</f>
        <v/>
      </c>
      <c r="N936" s="25" t="str">
        <f aca="false">IF(OR(I936="",J936="",I936=G936),"",IF(E936="Buy",(J936-I936)/(I936-G936),(I936-J936)/(G936-I936)))</f>
        <v/>
      </c>
      <c r="O936" s="2" t="str">
        <f aca="false">IF(OR(B936="",K936=""),"",IFERROR(K936-B936,""))</f>
        <v/>
      </c>
      <c r="P936" s="2" t="str">
        <f aca="false">IF(M936="","",IF(M936&gt;0,1,0))</f>
        <v/>
      </c>
    </row>
    <row r="937" customFormat="false" ht="15" hidden="false" customHeight="false" outlineLevel="0" collapsed="false">
      <c r="M937" s="24" t="str">
        <f aca="false">IF(OR(I937="",J937=""),"",IF(E937="Buy",(J937-I937)/I937,(I937-J937)/I937))</f>
        <v/>
      </c>
      <c r="N937" s="25" t="str">
        <f aca="false">IF(OR(I937="",J937="",I937=G937),"",IF(E937="Buy",(J937-I937)/(I937-G937),(I937-J937)/(G937-I937)))</f>
        <v/>
      </c>
      <c r="O937" s="2" t="str">
        <f aca="false">IF(OR(B937="",K937=""),"",IFERROR(K937-B937,""))</f>
        <v/>
      </c>
      <c r="P937" s="2" t="str">
        <f aca="false">IF(M937="","",IF(M937&gt;0,1,0))</f>
        <v/>
      </c>
    </row>
    <row r="938" customFormat="false" ht="15" hidden="false" customHeight="false" outlineLevel="0" collapsed="false">
      <c r="M938" s="24" t="str">
        <f aca="false">IF(OR(I938="",J938=""),"",IF(E938="Buy",(J938-I938)/I938,(I938-J938)/I938))</f>
        <v/>
      </c>
      <c r="N938" s="25" t="str">
        <f aca="false">IF(OR(I938="",J938="",I938=G938),"",IF(E938="Buy",(J938-I938)/(I938-G938),(I938-J938)/(G938-I938)))</f>
        <v/>
      </c>
      <c r="O938" s="2" t="str">
        <f aca="false">IF(OR(B938="",K938=""),"",IFERROR(K938-B938,""))</f>
        <v/>
      </c>
      <c r="P938" s="2" t="str">
        <f aca="false">IF(M938="","",IF(M938&gt;0,1,0))</f>
        <v/>
      </c>
    </row>
    <row r="939" customFormat="false" ht="15" hidden="false" customHeight="false" outlineLevel="0" collapsed="false">
      <c r="M939" s="24" t="str">
        <f aca="false">IF(OR(I939="",J939=""),"",IF(E939="Buy",(J939-I939)/I939,(I939-J939)/I939))</f>
        <v/>
      </c>
      <c r="N939" s="25" t="str">
        <f aca="false">IF(OR(I939="",J939="",I939=G939),"",IF(E939="Buy",(J939-I939)/(I939-G939),(I939-J939)/(G939-I939)))</f>
        <v/>
      </c>
      <c r="O939" s="2" t="str">
        <f aca="false">IF(OR(B939="",K939=""),"",IFERROR(K939-B939,""))</f>
        <v/>
      </c>
      <c r="P939" s="2" t="str">
        <f aca="false">IF(M939="","",IF(M939&gt;0,1,0))</f>
        <v/>
      </c>
    </row>
    <row r="940" customFormat="false" ht="15" hidden="false" customHeight="false" outlineLevel="0" collapsed="false">
      <c r="M940" s="24" t="str">
        <f aca="false">IF(OR(I940="",J940=""),"",IF(E940="Buy",(J940-I940)/I940,(I940-J940)/I940))</f>
        <v/>
      </c>
      <c r="N940" s="25" t="str">
        <f aca="false">IF(OR(I940="",J940="",I940=G940),"",IF(E940="Buy",(J940-I940)/(I940-G940),(I940-J940)/(G940-I940)))</f>
        <v/>
      </c>
      <c r="O940" s="2" t="str">
        <f aca="false">IF(OR(B940="",K940=""),"",IFERROR(K940-B940,""))</f>
        <v/>
      </c>
      <c r="P940" s="2" t="str">
        <f aca="false">IF(M940="","",IF(M940&gt;0,1,0))</f>
        <v/>
      </c>
    </row>
    <row r="941" customFormat="false" ht="15" hidden="false" customHeight="false" outlineLevel="0" collapsed="false">
      <c r="M941" s="24" t="str">
        <f aca="false">IF(OR(I941="",J941=""),"",IF(E941="Buy",(J941-I941)/I941,(I941-J941)/I941))</f>
        <v/>
      </c>
      <c r="N941" s="25" t="str">
        <f aca="false">IF(OR(I941="",J941="",I941=G941),"",IF(E941="Buy",(J941-I941)/(I941-G941),(I941-J941)/(G941-I941)))</f>
        <v/>
      </c>
      <c r="O941" s="2" t="str">
        <f aca="false">IF(OR(B941="",K941=""),"",IFERROR(K941-B941,""))</f>
        <v/>
      </c>
      <c r="P941" s="2" t="str">
        <f aca="false">IF(M941="","",IF(M941&gt;0,1,0))</f>
        <v/>
      </c>
    </row>
    <row r="942" customFormat="false" ht="15" hidden="false" customHeight="false" outlineLevel="0" collapsed="false">
      <c r="M942" s="24" t="str">
        <f aca="false">IF(OR(I942="",J942=""),"",IF(E942="Buy",(J942-I942)/I942,(I942-J942)/I942))</f>
        <v/>
      </c>
      <c r="N942" s="25" t="str">
        <f aca="false">IF(OR(I942="",J942="",I942=G942),"",IF(E942="Buy",(J942-I942)/(I942-G942),(I942-J942)/(G942-I942)))</f>
        <v/>
      </c>
      <c r="O942" s="2" t="str">
        <f aca="false">IF(OR(B942="",K942=""),"",IFERROR(K942-B942,""))</f>
        <v/>
      </c>
      <c r="P942" s="2" t="str">
        <f aca="false">IF(M942="","",IF(M942&gt;0,1,0))</f>
        <v/>
      </c>
    </row>
    <row r="943" customFormat="false" ht="15" hidden="false" customHeight="false" outlineLevel="0" collapsed="false">
      <c r="M943" s="24" t="str">
        <f aca="false">IF(OR(I943="",J943=""),"",IF(E943="Buy",(J943-I943)/I943,(I943-J943)/I943))</f>
        <v/>
      </c>
      <c r="N943" s="25" t="str">
        <f aca="false">IF(OR(I943="",J943="",I943=G943),"",IF(E943="Buy",(J943-I943)/(I943-G943),(I943-J943)/(G943-I943)))</f>
        <v/>
      </c>
      <c r="O943" s="2" t="str">
        <f aca="false">IF(OR(B943="",K943=""),"",IFERROR(K943-B943,""))</f>
        <v/>
      </c>
      <c r="P943" s="2" t="str">
        <f aca="false">IF(M943="","",IF(M943&gt;0,1,0))</f>
        <v/>
      </c>
    </row>
    <row r="944" customFormat="false" ht="15" hidden="false" customHeight="false" outlineLevel="0" collapsed="false">
      <c r="M944" s="24" t="str">
        <f aca="false">IF(OR(I944="",J944=""),"",IF(E944="Buy",(J944-I944)/I944,(I944-J944)/I944))</f>
        <v/>
      </c>
      <c r="N944" s="25" t="str">
        <f aca="false">IF(OR(I944="",J944="",I944=G944),"",IF(E944="Buy",(J944-I944)/(I944-G944),(I944-J944)/(G944-I944)))</f>
        <v/>
      </c>
      <c r="O944" s="2" t="str">
        <f aca="false">IF(OR(B944="",K944=""),"",IFERROR(K944-B944,""))</f>
        <v/>
      </c>
      <c r="P944" s="2" t="str">
        <f aca="false">IF(M944="","",IF(M944&gt;0,1,0))</f>
        <v/>
      </c>
    </row>
    <row r="945" customFormat="false" ht="15" hidden="false" customHeight="false" outlineLevel="0" collapsed="false">
      <c r="M945" s="24" t="str">
        <f aca="false">IF(OR(I945="",J945=""),"",IF(E945="Buy",(J945-I945)/I945,(I945-J945)/I945))</f>
        <v/>
      </c>
      <c r="N945" s="25" t="str">
        <f aca="false">IF(OR(I945="",J945="",I945=G945),"",IF(E945="Buy",(J945-I945)/(I945-G945),(I945-J945)/(G945-I945)))</f>
        <v/>
      </c>
      <c r="O945" s="2" t="str">
        <f aca="false">IF(OR(B945="",K945=""),"",IFERROR(K945-B945,""))</f>
        <v/>
      </c>
      <c r="P945" s="2" t="str">
        <f aca="false">IF(M945="","",IF(M945&gt;0,1,0))</f>
        <v/>
      </c>
    </row>
    <row r="946" customFormat="false" ht="15" hidden="false" customHeight="false" outlineLevel="0" collapsed="false">
      <c r="M946" s="24" t="str">
        <f aca="false">IF(OR(I946="",J946=""),"",IF(E946="Buy",(J946-I946)/I946,(I946-J946)/I946))</f>
        <v/>
      </c>
      <c r="N946" s="25" t="str">
        <f aca="false">IF(OR(I946="",J946="",I946=G946),"",IF(E946="Buy",(J946-I946)/(I946-G946),(I946-J946)/(G946-I946)))</f>
        <v/>
      </c>
      <c r="O946" s="2" t="str">
        <f aca="false">IF(OR(B946="",K946=""),"",IFERROR(K946-B946,""))</f>
        <v/>
      </c>
      <c r="P946" s="2" t="str">
        <f aca="false">IF(M946="","",IF(M946&gt;0,1,0))</f>
        <v/>
      </c>
    </row>
    <row r="947" customFormat="false" ht="15" hidden="false" customHeight="false" outlineLevel="0" collapsed="false">
      <c r="M947" s="24" t="str">
        <f aca="false">IF(OR(I947="",J947=""),"",IF(E947="Buy",(J947-I947)/I947,(I947-J947)/I947))</f>
        <v/>
      </c>
      <c r="N947" s="25" t="str">
        <f aca="false">IF(OR(I947="",J947="",I947=G947),"",IF(E947="Buy",(J947-I947)/(I947-G947),(I947-J947)/(G947-I947)))</f>
        <v/>
      </c>
      <c r="O947" s="2" t="str">
        <f aca="false">IF(OR(B947="",K947=""),"",IFERROR(K947-B947,""))</f>
        <v/>
      </c>
      <c r="P947" s="2" t="str">
        <f aca="false">IF(M947="","",IF(M947&gt;0,1,0))</f>
        <v/>
      </c>
    </row>
    <row r="948" customFormat="false" ht="15" hidden="false" customHeight="false" outlineLevel="0" collapsed="false">
      <c r="M948" s="24" t="str">
        <f aca="false">IF(OR(I948="",J948=""),"",IF(E948="Buy",(J948-I948)/I948,(I948-J948)/I948))</f>
        <v/>
      </c>
      <c r="N948" s="25" t="str">
        <f aca="false">IF(OR(I948="",J948="",I948=G948),"",IF(E948="Buy",(J948-I948)/(I948-G948),(I948-J948)/(G948-I948)))</f>
        <v/>
      </c>
      <c r="O948" s="2" t="str">
        <f aca="false">IF(OR(B948="",K948=""),"",IFERROR(K948-B948,""))</f>
        <v/>
      </c>
      <c r="P948" s="2" t="str">
        <f aca="false">IF(M948="","",IF(M948&gt;0,1,0))</f>
        <v/>
      </c>
    </row>
    <row r="949" customFormat="false" ht="15" hidden="false" customHeight="false" outlineLevel="0" collapsed="false">
      <c r="M949" s="24" t="str">
        <f aca="false">IF(OR(I949="",J949=""),"",IF(E949="Buy",(J949-I949)/I949,(I949-J949)/I949))</f>
        <v/>
      </c>
      <c r="N949" s="25" t="str">
        <f aca="false">IF(OR(I949="",J949="",I949=G949),"",IF(E949="Buy",(J949-I949)/(I949-G949),(I949-J949)/(G949-I949)))</f>
        <v/>
      </c>
      <c r="O949" s="2" t="str">
        <f aca="false">IF(OR(B949="",K949=""),"",IFERROR(K949-B949,""))</f>
        <v/>
      </c>
      <c r="P949" s="2" t="str">
        <f aca="false">IF(M949="","",IF(M949&gt;0,1,0))</f>
        <v/>
      </c>
    </row>
    <row r="950" customFormat="false" ht="15" hidden="false" customHeight="false" outlineLevel="0" collapsed="false">
      <c r="M950" s="24" t="str">
        <f aca="false">IF(OR(I950="",J950=""),"",IF(E950="Buy",(J950-I950)/I950,(I950-J950)/I950))</f>
        <v/>
      </c>
      <c r="N950" s="25" t="str">
        <f aca="false">IF(OR(I950="",J950="",I950=G950),"",IF(E950="Buy",(J950-I950)/(I950-G950),(I950-J950)/(G950-I950)))</f>
        <v/>
      </c>
      <c r="O950" s="2" t="str">
        <f aca="false">IF(OR(B950="",K950=""),"",IFERROR(K950-B950,""))</f>
        <v/>
      </c>
      <c r="P950" s="2" t="str">
        <f aca="false">IF(M950="","",IF(M950&gt;0,1,0))</f>
        <v/>
      </c>
    </row>
    <row r="951" customFormat="false" ht="15" hidden="false" customHeight="false" outlineLevel="0" collapsed="false">
      <c r="M951" s="24" t="str">
        <f aca="false">IF(OR(I951="",J951=""),"",IF(E951="Buy",(J951-I951)/I951,(I951-J951)/I951))</f>
        <v/>
      </c>
      <c r="N951" s="25" t="str">
        <f aca="false">IF(OR(I951="",J951="",I951=G951),"",IF(E951="Buy",(J951-I951)/(I951-G951),(I951-J951)/(G951-I951)))</f>
        <v/>
      </c>
      <c r="O951" s="2" t="str">
        <f aca="false">IF(OR(B951="",K951=""),"",IFERROR(K951-B951,""))</f>
        <v/>
      </c>
      <c r="P951" s="2" t="str">
        <f aca="false">IF(M951="","",IF(M951&gt;0,1,0))</f>
        <v/>
      </c>
    </row>
    <row r="952" customFormat="false" ht="15" hidden="false" customHeight="false" outlineLevel="0" collapsed="false">
      <c r="M952" s="24" t="str">
        <f aca="false">IF(OR(I952="",J952=""),"",IF(E952="Buy",(J952-I952)/I952,(I952-J952)/I952))</f>
        <v/>
      </c>
      <c r="N952" s="25" t="str">
        <f aca="false">IF(OR(I952="",J952="",I952=G952),"",IF(E952="Buy",(J952-I952)/(I952-G952),(I952-J952)/(G952-I952)))</f>
        <v/>
      </c>
      <c r="O952" s="2" t="str">
        <f aca="false">IF(OR(B952="",K952=""),"",IFERROR(K952-B952,""))</f>
        <v/>
      </c>
      <c r="P952" s="2" t="str">
        <f aca="false">IF(M952="","",IF(M952&gt;0,1,0))</f>
        <v/>
      </c>
    </row>
    <row r="953" customFormat="false" ht="15" hidden="false" customHeight="false" outlineLevel="0" collapsed="false">
      <c r="M953" s="24" t="str">
        <f aca="false">IF(OR(I953="",J953=""),"",IF(E953="Buy",(J953-I953)/I953,(I953-J953)/I953))</f>
        <v/>
      </c>
      <c r="N953" s="25" t="str">
        <f aca="false">IF(OR(I953="",J953="",I953=G953),"",IF(E953="Buy",(J953-I953)/(I953-G953),(I953-J953)/(G953-I953)))</f>
        <v/>
      </c>
      <c r="O953" s="2" t="str">
        <f aca="false">IF(OR(B953="",K953=""),"",IFERROR(K953-B953,""))</f>
        <v/>
      </c>
      <c r="P953" s="2" t="str">
        <f aca="false">IF(M953="","",IF(M953&gt;0,1,0))</f>
        <v/>
      </c>
    </row>
    <row r="954" customFormat="false" ht="15" hidden="false" customHeight="false" outlineLevel="0" collapsed="false">
      <c r="M954" s="24" t="str">
        <f aca="false">IF(OR(I954="",J954=""),"",IF(E954="Buy",(J954-I954)/I954,(I954-J954)/I954))</f>
        <v/>
      </c>
      <c r="N954" s="25" t="str">
        <f aca="false">IF(OR(I954="",J954="",I954=G954),"",IF(E954="Buy",(J954-I954)/(I954-G954),(I954-J954)/(G954-I954)))</f>
        <v/>
      </c>
      <c r="O954" s="2" t="str">
        <f aca="false">IF(OR(B954="",K954=""),"",IFERROR(K954-B954,""))</f>
        <v/>
      </c>
      <c r="P954" s="2" t="str">
        <f aca="false">IF(M954="","",IF(M954&gt;0,1,0))</f>
        <v/>
      </c>
    </row>
    <row r="955" customFormat="false" ht="15" hidden="false" customHeight="false" outlineLevel="0" collapsed="false">
      <c r="M955" s="24" t="str">
        <f aca="false">IF(OR(I955="",J955=""),"",IF(E955="Buy",(J955-I955)/I955,(I955-J955)/I955))</f>
        <v/>
      </c>
      <c r="N955" s="25" t="str">
        <f aca="false">IF(OR(I955="",J955="",I955=G955),"",IF(E955="Buy",(J955-I955)/(I955-G955),(I955-J955)/(G955-I955)))</f>
        <v/>
      </c>
      <c r="O955" s="2" t="str">
        <f aca="false">IF(OR(B955="",K955=""),"",IFERROR(K955-B955,""))</f>
        <v/>
      </c>
      <c r="P955" s="2" t="str">
        <f aca="false">IF(M955="","",IF(M955&gt;0,1,0))</f>
        <v/>
      </c>
    </row>
    <row r="956" customFormat="false" ht="15" hidden="false" customHeight="false" outlineLevel="0" collapsed="false">
      <c r="M956" s="24" t="str">
        <f aca="false">IF(OR(I956="",J956=""),"",IF(E956="Buy",(J956-I956)/I956,(I956-J956)/I956))</f>
        <v/>
      </c>
      <c r="N956" s="25" t="str">
        <f aca="false">IF(OR(I956="",J956="",I956=G956),"",IF(E956="Buy",(J956-I956)/(I956-G956),(I956-J956)/(G956-I956)))</f>
        <v/>
      </c>
      <c r="O956" s="2" t="str">
        <f aca="false">IF(OR(B956="",K956=""),"",IFERROR(K956-B956,""))</f>
        <v/>
      </c>
      <c r="P956" s="2" t="str">
        <f aca="false">IF(M956="","",IF(M956&gt;0,1,0))</f>
        <v/>
      </c>
    </row>
    <row r="957" customFormat="false" ht="15" hidden="false" customHeight="false" outlineLevel="0" collapsed="false">
      <c r="M957" s="24" t="str">
        <f aca="false">IF(OR(I957="",J957=""),"",IF(E957="Buy",(J957-I957)/I957,(I957-J957)/I957))</f>
        <v/>
      </c>
      <c r="N957" s="25" t="str">
        <f aca="false">IF(OR(I957="",J957="",I957=G957),"",IF(E957="Buy",(J957-I957)/(I957-G957),(I957-J957)/(G957-I957)))</f>
        <v/>
      </c>
      <c r="O957" s="2" t="str">
        <f aca="false">IF(OR(B957="",K957=""),"",IFERROR(K957-B957,""))</f>
        <v/>
      </c>
      <c r="P957" s="2" t="str">
        <f aca="false">IF(M957="","",IF(M957&gt;0,1,0))</f>
        <v/>
      </c>
    </row>
    <row r="958" customFormat="false" ht="15" hidden="false" customHeight="false" outlineLevel="0" collapsed="false">
      <c r="M958" s="24" t="str">
        <f aca="false">IF(OR(I958="",J958=""),"",IF(E958="Buy",(J958-I958)/I958,(I958-J958)/I958))</f>
        <v/>
      </c>
      <c r="N958" s="25" t="str">
        <f aca="false">IF(OR(I958="",J958="",I958=G958),"",IF(E958="Buy",(J958-I958)/(I958-G958),(I958-J958)/(G958-I958)))</f>
        <v/>
      </c>
      <c r="O958" s="2" t="str">
        <f aca="false">IF(OR(B958="",K958=""),"",IFERROR(K958-B958,""))</f>
        <v/>
      </c>
      <c r="P958" s="2" t="str">
        <f aca="false">IF(M958="","",IF(M958&gt;0,1,0))</f>
        <v/>
      </c>
    </row>
    <row r="959" customFormat="false" ht="15" hidden="false" customHeight="false" outlineLevel="0" collapsed="false">
      <c r="M959" s="24" t="str">
        <f aca="false">IF(OR(I959="",J959=""),"",IF(E959="Buy",(J959-I959)/I959,(I959-J959)/I959))</f>
        <v/>
      </c>
      <c r="N959" s="25" t="str">
        <f aca="false">IF(OR(I959="",J959="",I959=G959),"",IF(E959="Buy",(J959-I959)/(I959-G959),(I959-J959)/(G959-I959)))</f>
        <v/>
      </c>
      <c r="O959" s="2" t="str">
        <f aca="false">IF(OR(B959="",K959=""),"",IFERROR(K959-B959,""))</f>
        <v/>
      </c>
      <c r="P959" s="2" t="str">
        <f aca="false">IF(M959="","",IF(M959&gt;0,1,0))</f>
        <v/>
      </c>
    </row>
    <row r="960" customFormat="false" ht="15" hidden="false" customHeight="false" outlineLevel="0" collapsed="false">
      <c r="M960" s="24" t="str">
        <f aca="false">IF(OR(I960="",J960=""),"",IF(E960="Buy",(J960-I960)/I960,(I960-J960)/I960))</f>
        <v/>
      </c>
      <c r="N960" s="25" t="str">
        <f aca="false">IF(OR(I960="",J960="",I960=G960),"",IF(E960="Buy",(J960-I960)/(I960-G960),(I960-J960)/(G960-I960)))</f>
        <v/>
      </c>
      <c r="O960" s="2" t="str">
        <f aca="false">IF(OR(B960="",K960=""),"",IFERROR(K960-B960,""))</f>
        <v/>
      </c>
      <c r="P960" s="2" t="str">
        <f aca="false">IF(M960="","",IF(M960&gt;0,1,0))</f>
        <v/>
      </c>
    </row>
    <row r="961" customFormat="false" ht="15" hidden="false" customHeight="false" outlineLevel="0" collapsed="false">
      <c r="M961" s="24" t="str">
        <f aca="false">IF(OR(I961="",J961=""),"",IF(E961="Buy",(J961-I961)/I961,(I961-J961)/I961))</f>
        <v/>
      </c>
      <c r="N961" s="25" t="str">
        <f aca="false">IF(OR(I961="",J961="",I961=G961),"",IF(E961="Buy",(J961-I961)/(I961-G961),(I961-J961)/(G961-I961)))</f>
        <v/>
      </c>
      <c r="O961" s="2" t="str">
        <f aca="false">IF(OR(B961="",K961=""),"",IFERROR(K961-B961,""))</f>
        <v/>
      </c>
      <c r="P961" s="2" t="str">
        <f aca="false">IF(M961="","",IF(M961&gt;0,1,0))</f>
        <v/>
      </c>
    </row>
    <row r="962" customFormat="false" ht="15" hidden="false" customHeight="false" outlineLevel="0" collapsed="false">
      <c r="M962" s="24" t="str">
        <f aca="false">IF(OR(I962="",J962=""),"",IF(E962="Buy",(J962-I962)/I962,(I962-J962)/I962))</f>
        <v/>
      </c>
      <c r="N962" s="25" t="str">
        <f aca="false">IF(OR(I962="",J962="",I962=G962),"",IF(E962="Buy",(J962-I962)/(I962-G962),(I962-J962)/(G962-I962)))</f>
        <v/>
      </c>
      <c r="O962" s="2" t="str">
        <f aca="false">IF(OR(B962="",K962=""),"",IFERROR(K962-B962,""))</f>
        <v/>
      </c>
      <c r="P962" s="2" t="str">
        <f aca="false">IF(M962="","",IF(M962&gt;0,1,0))</f>
        <v/>
      </c>
    </row>
    <row r="963" customFormat="false" ht="15" hidden="false" customHeight="false" outlineLevel="0" collapsed="false">
      <c r="M963" s="24" t="str">
        <f aca="false">IF(OR(I963="",J963=""),"",IF(E963="Buy",(J963-I963)/I963,(I963-J963)/I963))</f>
        <v/>
      </c>
      <c r="N963" s="25" t="str">
        <f aca="false">IF(OR(I963="",J963="",I963=G963),"",IF(E963="Buy",(J963-I963)/(I963-G963),(I963-J963)/(G963-I963)))</f>
        <v/>
      </c>
      <c r="O963" s="2" t="str">
        <f aca="false">IF(OR(B963="",K963=""),"",IFERROR(K963-B963,""))</f>
        <v/>
      </c>
      <c r="P963" s="2" t="str">
        <f aca="false">IF(M963="","",IF(M963&gt;0,1,0))</f>
        <v/>
      </c>
    </row>
    <row r="964" customFormat="false" ht="15" hidden="false" customHeight="false" outlineLevel="0" collapsed="false">
      <c r="M964" s="24" t="str">
        <f aca="false">IF(OR(I964="",J964=""),"",IF(E964="Buy",(J964-I964)/I964,(I964-J964)/I964))</f>
        <v/>
      </c>
      <c r="N964" s="25" t="str">
        <f aca="false">IF(OR(I964="",J964="",I964=G964),"",IF(E964="Buy",(J964-I964)/(I964-G964),(I964-J964)/(G964-I964)))</f>
        <v/>
      </c>
      <c r="O964" s="2" t="str">
        <f aca="false">IF(OR(B964="",K964=""),"",IFERROR(K964-B964,""))</f>
        <v/>
      </c>
      <c r="P964" s="2" t="str">
        <f aca="false">IF(M964="","",IF(M964&gt;0,1,0))</f>
        <v/>
      </c>
    </row>
    <row r="965" customFormat="false" ht="15" hidden="false" customHeight="false" outlineLevel="0" collapsed="false">
      <c r="M965" s="24" t="str">
        <f aca="false">IF(OR(I965="",J965=""),"",IF(E965="Buy",(J965-I965)/I965,(I965-J965)/I965))</f>
        <v/>
      </c>
      <c r="N965" s="25" t="str">
        <f aca="false">IF(OR(I965="",J965="",I965=G965),"",IF(E965="Buy",(J965-I965)/(I965-G965),(I965-J965)/(G965-I965)))</f>
        <v/>
      </c>
      <c r="O965" s="2" t="str">
        <f aca="false">IF(OR(B965="",K965=""),"",IFERROR(K965-B965,""))</f>
        <v/>
      </c>
      <c r="P965" s="2" t="str">
        <f aca="false">IF(M965="","",IF(M965&gt;0,1,0))</f>
        <v/>
      </c>
    </row>
    <row r="966" customFormat="false" ht="15" hidden="false" customHeight="false" outlineLevel="0" collapsed="false">
      <c r="M966" s="24" t="str">
        <f aca="false">IF(OR(I966="",J966=""),"",IF(E966="Buy",(J966-I966)/I966,(I966-J966)/I966))</f>
        <v/>
      </c>
      <c r="N966" s="25" t="str">
        <f aca="false">IF(OR(I966="",J966="",I966=G966),"",IF(E966="Buy",(J966-I966)/(I966-G966),(I966-J966)/(G966-I966)))</f>
        <v/>
      </c>
      <c r="O966" s="2" t="str">
        <f aca="false">IF(OR(B966="",K966=""),"",IFERROR(K966-B966,""))</f>
        <v/>
      </c>
      <c r="P966" s="2" t="str">
        <f aca="false">IF(M966="","",IF(M966&gt;0,1,0))</f>
        <v/>
      </c>
    </row>
    <row r="967" customFormat="false" ht="15" hidden="false" customHeight="false" outlineLevel="0" collapsed="false">
      <c r="M967" s="24" t="str">
        <f aca="false">IF(OR(I967="",J967=""),"",IF(E967="Buy",(J967-I967)/I967,(I967-J967)/I967))</f>
        <v/>
      </c>
      <c r="N967" s="25" t="str">
        <f aca="false">IF(OR(I967="",J967="",I967=G967),"",IF(E967="Buy",(J967-I967)/(I967-G967),(I967-J967)/(G967-I967)))</f>
        <v/>
      </c>
      <c r="O967" s="2" t="str">
        <f aca="false">IF(OR(B967="",K967=""),"",IFERROR(K967-B967,""))</f>
        <v/>
      </c>
      <c r="P967" s="2" t="str">
        <f aca="false">IF(M967="","",IF(M967&gt;0,1,0))</f>
        <v/>
      </c>
    </row>
    <row r="968" customFormat="false" ht="15" hidden="false" customHeight="false" outlineLevel="0" collapsed="false">
      <c r="M968" s="24" t="str">
        <f aca="false">IF(OR(I968="",J968=""),"",IF(E968="Buy",(J968-I968)/I968,(I968-J968)/I968))</f>
        <v/>
      </c>
      <c r="N968" s="25" t="str">
        <f aca="false">IF(OR(I968="",J968="",I968=G968),"",IF(E968="Buy",(J968-I968)/(I968-G968),(I968-J968)/(G968-I968)))</f>
        <v/>
      </c>
      <c r="O968" s="2" t="str">
        <f aca="false">IF(OR(B968="",K968=""),"",IFERROR(K968-B968,""))</f>
        <v/>
      </c>
      <c r="P968" s="2" t="str">
        <f aca="false">IF(M968="","",IF(M968&gt;0,1,0))</f>
        <v/>
      </c>
    </row>
    <row r="969" customFormat="false" ht="15" hidden="false" customHeight="false" outlineLevel="0" collapsed="false">
      <c r="M969" s="24" t="str">
        <f aca="false">IF(OR(I969="",J969=""),"",IF(E969="Buy",(J969-I969)/I969,(I969-J969)/I969))</f>
        <v/>
      </c>
      <c r="N969" s="25" t="str">
        <f aca="false">IF(OR(I969="",J969="",I969=G969),"",IF(E969="Buy",(J969-I969)/(I969-G969),(I969-J969)/(G969-I969)))</f>
        <v/>
      </c>
      <c r="O969" s="2" t="str">
        <f aca="false">IF(OR(B969="",K969=""),"",IFERROR(K969-B969,""))</f>
        <v/>
      </c>
      <c r="P969" s="2" t="str">
        <f aca="false">IF(M969="","",IF(M969&gt;0,1,0))</f>
        <v/>
      </c>
    </row>
    <row r="970" customFormat="false" ht="15" hidden="false" customHeight="false" outlineLevel="0" collapsed="false">
      <c r="M970" s="24" t="str">
        <f aca="false">IF(OR(I970="",J970=""),"",IF(E970="Buy",(J970-I970)/I970,(I970-J970)/I970))</f>
        <v/>
      </c>
      <c r="N970" s="25" t="str">
        <f aca="false">IF(OR(I970="",J970="",I970=G970),"",IF(E970="Buy",(J970-I970)/(I970-G970),(I970-J970)/(G970-I970)))</f>
        <v/>
      </c>
      <c r="O970" s="2" t="str">
        <f aca="false">IF(OR(B970="",K970=""),"",IFERROR(K970-B970,""))</f>
        <v/>
      </c>
      <c r="P970" s="2" t="str">
        <f aca="false">IF(M970="","",IF(M970&gt;0,1,0))</f>
        <v/>
      </c>
    </row>
    <row r="971" customFormat="false" ht="15" hidden="false" customHeight="false" outlineLevel="0" collapsed="false">
      <c r="M971" s="24" t="str">
        <f aca="false">IF(OR(I971="",J971=""),"",IF(E971="Buy",(J971-I971)/I971,(I971-J971)/I971))</f>
        <v/>
      </c>
      <c r="N971" s="25" t="str">
        <f aca="false">IF(OR(I971="",J971="",I971=G971),"",IF(E971="Buy",(J971-I971)/(I971-G971),(I971-J971)/(G971-I971)))</f>
        <v/>
      </c>
      <c r="O971" s="2" t="str">
        <f aca="false">IF(OR(B971="",K971=""),"",IFERROR(K971-B971,""))</f>
        <v/>
      </c>
      <c r="P971" s="2" t="str">
        <f aca="false">IF(M971="","",IF(M971&gt;0,1,0))</f>
        <v/>
      </c>
    </row>
    <row r="972" customFormat="false" ht="15" hidden="false" customHeight="false" outlineLevel="0" collapsed="false">
      <c r="M972" s="24" t="str">
        <f aca="false">IF(OR(I972="",J972=""),"",IF(E972="Buy",(J972-I972)/I972,(I972-J972)/I972))</f>
        <v/>
      </c>
      <c r="N972" s="25" t="str">
        <f aca="false">IF(OR(I972="",J972="",I972=G972),"",IF(E972="Buy",(J972-I972)/(I972-G972),(I972-J972)/(G972-I972)))</f>
        <v/>
      </c>
      <c r="O972" s="2" t="str">
        <f aca="false">IF(OR(B972="",K972=""),"",IFERROR(K972-B972,""))</f>
        <v/>
      </c>
      <c r="P972" s="2" t="str">
        <f aca="false">IF(M972="","",IF(M972&gt;0,1,0))</f>
        <v/>
      </c>
    </row>
    <row r="973" customFormat="false" ht="15" hidden="false" customHeight="false" outlineLevel="0" collapsed="false">
      <c r="M973" s="24" t="str">
        <f aca="false">IF(OR(I973="",J973=""),"",IF(E973="Buy",(J973-I973)/I973,(I973-J973)/I973))</f>
        <v/>
      </c>
      <c r="N973" s="25" t="str">
        <f aca="false">IF(OR(I973="",J973="",I973=G973),"",IF(E973="Buy",(J973-I973)/(I973-G973),(I973-J973)/(G973-I973)))</f>
        <v/>
      </c>
      <c r="O973" s="2" t="str">
        <f aca="false">IF(OR(B973="",K973=""),"",IFERROR(K973-B973,""))</f>
        <v/>
      </c>
      <c r="P973" s="2" t="str">
        <f aca="false">IF(M973="","",IF(M973&gt;0,1,0))</f>
        <v/>
      </c>
    </row>
    <row r="974" customFormat="false" ht="15" hidden="false" customHeight="false" outlineLevel="0" collapsed="false">
      <c r="M974" s="24" t="str">
        <f aca="false">IF(OR(I974="",J974=""),"",IF(E974="Buy",(J974-I974)/I974,(I974-J974)/I974))</f>
        <v/>
      </c>
      <c r="N974" s="25" t="str">
        <f aca="false">IF(OR(I974="",J974="",I974=G974),"",IF(E974="Buy",(J974-I974)/(I974-G974),(I974-J974)/(G974-I974)))</f>
        <v/>
      </c>
      <c r="O974" s="2" t="str">
        <f aca="false">IF(OR(B974="",K974=""),"",IFERROR(K974-B974,""))</f>
        <v/>
      </c>
      <c r="P974" s="2" t="str">
        <f aca="false">IF(M974="","",IF(M974&gt;0,1,0))</f>
        <v/>
      </c>
    </row>
    <row r="975" customFormat="false" ht="15" hidden="false" customHeight="false" outlineLevel="0" collapsed="false">
      <c r="M975" s="24" t="str">
        <f aca="false">IF(OR(I975="",J975=""),"",IF(E975="Buy",(J975-I975)/I975,(I975-J975)/I975))</f>
        <v/>
      </c>
      <c r="N975" s="25" t="str">
        <f aca="false">IF(OR(I975="",J975="",I975=G975),"",IF(E975="Buy",(J975-I975)/(I975-G975),(I975-J975)/(G975-I975)))</f>
        <v/>
      </c>
      <c r="O975" s="2" t="str">
        <f aca="false">IF(OR(B975="",K975=""),"",IFERROR(K975-B975,""))</f>
        <v/>
      </c>
      <c r="P975" s="2" t="str">
        <f aca="false">IF(M975="","",IF(M975&gt;0,1,0))</f>
        <v/>
      </c>
    </row>
    <row r="976" customFormat="false" ht="15" hidden="false" customHeight="false" outlineLevel="0" collapsed="false">
      <c r="M976" s="24" t="str">
        <f aca="false">IF(OR(I976="",J976=""),"",IF(E976="Buy",(J976-I976)/I976,(I976-J976)/I976))</f>
        <v/>
      </c>
      <c r="N976" s="25" t="str">
        <f aca="false">IF(OR(I976="",J976="",I976=G976),"",IF(E976="Buy",(J976-I976)/(I976-G976),(I976-J976)/(G976-I976)))</f>
        <v/>
      </c>
      <c r="O976" s="2" t="str">
        <f aca="false">IF(OR(B976="",K976=""),"",IFERROR(K976-B976,""))</f>
        <v/>
      </c>
      <c r="P976" s="2" t="str">
        <f aca="false">IF(M976="","",IF(M976&gt;0,1,0))</f>
        <v/>
      </c>
    </row>
    <row r="977" customFormat="false" ht="15" hidden="false" customHeight="false" outlineLevel="0" collapsed="false">
      <c r="M977" s="24" t="str">
        <f aca="false">IF(OR(I977="",J977=""),"",IF(E977="Buy",(J977-I977)/I977,(I977-J977)/I977))</f>
        <v/>
      </c>
      <c r="N977" s="25" t="str">
        <f aca="false">IF(OR(I977="",J977="",I977=G977),"",IF(E977="Buy",(J977-I977)/(I977-G977),(I977-J977)/(G977-I977)))</f>
        <v/>
      </c>
      <c r="O977" s="2" t="str">
        <f aca="false">IF(OR(B977="",K977=""),"",IFERROR(K977-B977,""))</f>
        <v/>
      </c>
      <c r="P977" s="2" t="str">
        <f aca="false">IF(M977="","",IF(M977&gt;0,1,0))</f>
        <v/>
      </c>
    </row>
    <row r="978" customFormat="false" ht="15" hidden="false" customHeight="false" outlineLevel="0" collapsed="false">
      <c r="M978" s="24" t="str">
        <f aca="false">IF(OR(I978="",J978=""),"",IF(E978="Buy",(J978-I978)/I978,(I978-J978)/I978))</f>
        <v/>
      </c>
      <c r="N978" s="25" t="str">
        <f aca="false">IF(OR(I978="",J978="",I978=G978),"",IF(E978="Buy",(J978-I978)/(I978-G978),(I978-J978)/(G978-I978)))</f>
        <v/>
      </c>
      <c r="O978" s="2" t="str">
        <f aca="false">IF(OR(B978="",K978=""),"",IFERROR(K978-B978,""))</f>
        <v/>
      </c>
      <c r="P978" s="2" t="str">
        <f aca="false">IF(M978="","",IF(M978&gt;0,1,0))</f>
        <v/>
      </c>
    </row>
    <row r="979" customFormat="false" ht="15" hidden="false" customHeight="false" outlineLevel="0" collapsed="false">
      <c r="M979" s="24" t="str">
        <f aca="false">IF(OR(I979="",J979=""),"",IF(E979="Buy",(J979-I979)/I979,(I979-J979)/I979))</f>
        <v/>
      </c>
      <c r="N979" s="25" t="str">
        <f aca="false">IF(OR(I979="",J979="",I979=G979),"",IF(E979="Buy",(J979-I979)/(I979-G979),(I979-J979)/(G979-I979)))</f>
        <v/>
      </c>
      <c r="O979" s="2" t="str">
        <f aca="false">IF(OR(B979="",K979=""),"",IFERROR(K979-B979,""))</f>
        <v/>
      </c>
      <c r="P979" s="2" t="str">
        <f aca="false">IF(M979="","",IF(M979&gt;0,1,0))</f>
        <v/>
      </c>
    </row>
    <row r="980" customFormat="false" ht="15" hidden="false" customHeight="false" outlineLevel="0" collapsed="false">
      <c r="M980" s="24" t="str">
        <f aca="false">IF(OR(I980="",J980=""),"",IF(E980="Buy",(J980-I980)/I980,(I980-J980)/I980))</f>
        <v/>
      </c>
      <c r="N980" s="25" t="str">
        <f aca="false">IF(OR(I980="",J980="",I980=G980),"",IF(E980="Buy",(J980-I980)/(I980-G980),(I980-J980)/(G980-I980)))</f>
        <v/>
      </c>
      <c r="O980" s="2" t="str">
        <f aca="false">IF(OR(B980="",K980=""),"",IFERROR(K980-B980,""))</f>
        <v/>
      </c>
      <c r="P980" s="2" t="str">
        <f aca="false">IF(M980="","",IF(M980&gt;0,1,0))</f>
        <v/>
      </c>
    </row>
    <row r="981" customFormat="false" ht="15" hidden="false" customHeight="false" outlineLevel="0" collapsed="false">
      <c r="M981" s="24" t="str">
        <f aca="false">IF(OR(I981="",J981=""),"",IF(E981="Buy",(J981-I981)/I981,(I981-J981)/I981))</f>
        <v/>
      </c>
      <c r="N981" s="25" t="str">
        <f aca="false">IF(OR(I981="",J981="",I981=G981),"",IF(E981="Buy",(J981-I981)/(I981-G981),(I981-J981)/(G981-I981)))</f>
        <v/>
      </c>
      <c r="O981" s="2" t="str">
        <f aca="false">IF(OR(B981="",K981=""),"",IFERROR(K981-B981,""))</f>
        <v/>
      </c>
      <c r="P981" s="2" t="str">
        <f aca="false">IF(M981="","",IF(M981&gt;0,1,0))</f>
        <v/>
      </c>
    </row>
    <row r="982" customFormat="false" ht="15" hidden="false" customHeight="false" outlineLevel="0" collapsed="false">
      <c r="M982" s="24" t="str">
        <f aca="false">IF(OR(I982="",J982=""),"",IF(E982="Buy",(J982-I982)/I982,(I982-J982)/I982))</f>
        <v/>
      </c>
      <c r="N982" s="25" t="str">
        <f aca="false">IF(OR(I982="",J982="",I982=G982),"",IF(E982="Buy",(J982-I982)/(I982-G982),(I982-J982)/(G982-I982)))</f>
        <v/>
      </c>
      <c r="O982" s="2" t="str">
        <f aca="false">IF(OR(B982="",K982=""),"",IFERROR(K982-B982,""))</f>
        <v/>
      </c>
      <c r="P982" s="2" t="str">
        <f aca="false">IF(M982="","",IF(M982&gt;0,1,0))</f>
        <v/>
      </c>
    </row>
    <row r="983" customFormat="false" ht="15" hidden="false" customHeight="false" outlineLevel="0" collapsed="false">
      <c r="M983" s="24" t="str">
        <f aca="false">IF(OR(I983="",J983=""),"",IF(E983="Buy",(J983-I983)/I983,(I983-J983)/I983))</f>
        <v/>
      </c>
      <c r="N983" s="25" t="str">
        <f aca="false">IF(OR(I983="",J983="",I983=G983),"",IF(E983="Buy",(J983-I983)/(I983-G983),(I983-J983)/(G983-I983)))</f>
        <v/>
      </c>
      <c r="O983" s="2" t="str">
        <f aca="false">IF(OR(B983="",K983=""),"",IFERROR(K983-B983,""))</f>
        <v/>
      </c>
      <c r="P983" s="2" t="str">
        <f aca="false">IF(M983="","",IF(M983&gt;0,1,0))</f>
        <v/>
      </c>
    </row>
    <row r="984" customFormat="false" ht="15" hidden="false" customHeight="false" outlineLevel="0" collapsed="false">
      <c r="M984" s="24" t="str">
        <f aca="false">IF(OR(I984="",J984=""),"",IF(E984="Buy",(J984-I984)/I984,(I984-J984)/I984))</f>
        <v/>
      </c>
      <c r="N984" s="25" t="str">
        <f aca="false">IF(OR(I984="",J984="",I984=G984),"",IF(E984="Buy",(J984-I984)/(I984-G984),(I984-J984)/(G984-I984)))</f>
        <v/>
      </c>
      <c r="O984" s="2" t="str">
        <f aca="false">IF(OR(B984="",K984=""),"",IFERROR(K984-B984,""))</f>
        <v/>
      </c>
      <c r="P984" s="2" t="str">
        <f aca="false">IF(M984="","",IF(M984&gt;0,1,0))</f>
        <v/>
      </c>
    </row>
    <row r="985" customFormat="false" ht="15" hidden="false" customHeight="false" outlineLevel="0" collapsed="false">
      <c r="M985" s="24" t="str">
        <f aca="false">IF(OR(I985="",J985=""),"",IF(E985="Buy",(J985-I985)/I985,(I985-J985)/I985))</f>
        <v/>
      </c>
      <c r="N985" s="25" t="str">
        <f aca="false">IF(OR(I985="",J985="",I985=G985),"",IF(E985="Buy",(J985-I985)/(I985-G985),(I985-J985)/(G985-I985)))</f>
        <v/>
      </c>
      <c r="O985" s="2" t="str">
        <f aca="false">IF(OR(B985="",K985=""),"",IFERROR(K985-B985,""))</f>
        <v/>
      </c>
      <c r="P985" s="2" t="str">
        <f aca="false">IF(M985="","",IF(M985&gt;0,1,0))</f>
        <v/>
      </c>
    </row>
    <row r="986" customFormat="false" ht="15" hidden="false" customHeight="false" outlineLevel="0" collapsed="false">
      <c r="M986" s="24" t="str">
        <f aca="false">IF(OR(I986="",J986=""),"",IF(E986="Buy",(J986-I986)/I986,(I986-J986)/I986))</f>
        <v/>
      </c>
      <c r="N986" s="25" t="str">
        <f aca="false">IF(OR(I986="",J986="",I986=G986),"",IF(E986="Buy",(J986-I986)/(I986-G986),(I986-J986)/(G986-I986)))</f>
        <v/>
      </c>
      <c r="O986" s="2" t="str">
        <f aca="false">IF(OR(B986="",K986=""),"",IFERROR(K986-B986,""))</f>
        <v/>
      </c>
      <c r="P986" s="2" t="str">
        <f aca="false">IF(M986="","",IF(M986&gt;0,1,0))</f>
        <v/>
      </c>
    </row>
    <row r="987" customFormat="false" ht="15" hidden="false" customHeight="false" outlineLevel="0" collapsed="false">
      <c r="M987" s="24" t="str">
        <f aca="false">IF(OR(I987="",J987=""),"",IF(E987="Buy",(J987-I987)/I987,(I987-J987)/I987))</f>
        <v/>
      </c>
      <c r="N987" s="25" t="str">
        <f aca="false">IF(OR(I987="",J987="",I987=G987),"",IF(E987="Buy",(J987-I987)/(I987-G987),(I987-J987)/(G987-I987)))</f>
        <v/>
      </c>
      <c r="O987" s="2" t="str">
        <f aca="false">IF(OR(B987="",K987=""),"",IFERROR(K987-B987,""))</f>
        <v/>
      </c>
      <c r="P987" s="2" t="str">
        <f aca="false">IF(M987="","",IF(M987&gt;0,1,0))</f>
        <v/>
      </c>
    </row>
    <row r="988" customFormat="false" ht="15" hidden="false" customHeight="false" outlineLevel="0" collapsed="false">
      <c r="M988" s="24" t="str">
        <f aca="false">IF(OR(I988="",J988=""),"",IF(E988="Buy",(J988-I988)/I988,(I988-J988)/I988))</f>
        <v/>
      </c>
      <c r="N988" s="25" t="str">
        <f aca="false">IF(OR(I988="",J988="",I988=G988),"",IF(E988="Buy",(J988-I988)/(I988-G988),(I988-J988)/(G988-I988)))</f>
        <v/>
      </c>
      <c r="O988" s="2" t="str">
        <f aca="false">IF(OR(B988="",K988=""),"",IFERROR(K988-B988,""))</f>
        <v/>
      </c>
      <c r="P988" s="2" t="str">
        <f aca="false">IF(M988="","",IF(M988&gt;0,1,0))</f>
        <v/>
      </c>
    </row>
    <row r="989" customFormat="false" ht="15" hidden="false" customHeight="false" outlineLevel="0" collapsed="false">
      <c r="M989" s="24" t="str">
        <f aca="false">IF(OR(I989="",J989=""),"",IF(E989="Buy",(J989-I989)/I989,(I989-J989)/I989))</f>
        <v/>
      </c>
      <c r="N989" s="25" t="str">
        <f aca="false">IF(OR(I989="",J989="",I989=G989),"",IF(E989="Buy",(J989-I989)/(I989-G989),(I989-J989)/(G989-I989)))</f>
        <v/>
      </c>
      <c r="O989" s="2" t="str">
        <f aca="false">IF(OR(B989="",K989=""),"",IFERROR(K989-B989,""))</f>
        <v/>
      </c>
      <c r="P989" s="2" t="str">
        <f aca="false">IF(M989="","",IF(M989&gt;0,1,0))</f>
        <v/>
      </c>
    </row>
    <row r="990" customFormat="false" ht="15" hidden="false" customHeight="false" outlineLevel="0" collapsed="false">
      <c r="M990" s="24" t="str">
        <f aca="false">IF(OR(I990="",J990=""),"",IF(E990="Buy",(J990-I990)/I990,(I990-J990)/I990))</f>
        <v/>
      </c>
      <c r="N990" s="25" t="str">
        <f aca="false">IF(OR(I990="",J990="",I990=G990),"",IF(E990="Buy",(J990-I990)/(I990-G990),(I990-J990)/(G990-I990)))</f>
        <v/>
      </c>
      <c r="O990" s="2" t="str">
        <f aca="false">IF(OR(B990="",K990=""),"",IFERROR(K990-B990,""))</f>
        <v/>
      </c>
      <c r="P990" s="2" t="str">
        <f aca="false">IF(M990="","",IF(M990&gt;0,1,0))</f>
        <v/>
      </c>
    </row>
    <row r="991" customFormat="false" ht="15" hidden="false" customHeight="false" outlineLevel="0" collapsed="false">
      <c r="M991" s="24" t="str">
        <f aca="false">IF(OR(I991="",J991=""),"",IF(E991="Buy",(J991-I991)/I991,(I991-J991)/I991))</f>
        <v/>
      </c>
      <c r="N991" s="25" t="str">
        <f aca="false">IF(OR(I991="",J991="",I991=G991),"",IF(E991="Buy",(J991-I991)/(I991-G991),(I991-J991)/(G991-I991)))</f>
        <v/>
      </c>
      <c r="O991" s="2" t="str">
        <f aca="false">IF(OR(B991="",K991=""),"",IFERROR(K991-B991,""))</f>
        <v/>
      </c>
      <c r="P991" s="2" t="str">
        <f aca="false">IF(M991="","",IF(M991&gt;0,1,0))</f>
        <v/>
      </c>
    </row>
    <row r="992" customFormat="false" ht="15" hidden="false" customHeight="false" outlineLevel="0" collapsed="false">
      <c r="M992" s="24" t="str">
        <f aca="false">IF(OR(I992="",J992=""),"",IF(E992="Buy",(J992-I992)/I992,(I992-J992)/I992))</f>
        <v/>
      </c>
      <c r="N992" s="25" t="str">
        <f aca="false">IF(OR(I992="",J992="",I992=G992),"",IF(E992="Buy",(J992-I992)/(I992-G992),(I992-J992)/(G992-I992)))</f>
        <v/>
      </c>
      <c r="O992" s="2" t="str">
        <f aca="false">IF(OR(B992="",K992=""),"",IFERROR(K992-B992,""))</f>
        <v/>
      </c>
      <c r="P992" s="2" t="str">
        <f aca="false">IF(M992="","",IF(M992&gt;0,1,0))</f>
        <v/>
      </c>
    </row>
    <row r="993" customFormat="false" ht="15" hidden="false" customHeight="false" outlineLevel="0" collapsed="false">
      <c r="M993" s="24" t="str">
        <f aca="false">IF(OR(I993="",J993=""),"",IF(E993="Buy",(J993-I993)/I993,(I993-J993)/I993))</f>
        <v/>
      </c>
      <c r="N993" s="25" t="str">
        <f aca="false">IF(OR(I993="",J993="",I993=G993),"",IF(E993="Buy",(J993-I993)/(I993-G993),(I993-J993)/(G993-I993)))</f>
        <v/>
      </c>
      <c r="O993" s="2" t="str">
        <f aca="false">IF(OR(B993="",K993=""),"",IFERROR(K993-B993,""))</f>
        <v/>
      </c>
      <c r="P993" s="2" t="str">
        <f aca="false">IF(M993="","",IF(M993&gt;0,1,0))</f>
        <v/>
      </c>
    </row>
    <row r="994" customFormat="false" ht="15" hidden="false" customHeight="false" outlineLevel="0" collapsed="false">
      <c r="M994" s="24" t="str">
        <f aca="false">IF(OR(I994="",J994=""),"",IF(E994="Buy",(J994-I994)/I994,(I994-J994)/I994))</f>
        <v/>
      </c>
      <c r="N994" s="25" t="str">
        <f aca="false">IF(OR(I994="",J994="",I994=G994),"",IF(E994="Buy",(J994-I994)/(I994-G994),(I994-J994)/(G994-I994)))</f>
        <v/>
      </c>
      <c r="O994" s="2" t="str">
        <f aca="false">IF(OR(B994="",K994=""),"",IFERROR(K994-B994,""))</f>
        <v/>
      </c>
      <c r="P994" s="2" t="str">
        <f aca="false">IF(M994="","",IF(M994&gt;0,1,0))</f>
        <v/>
      </c>
    </row>
    <row r="995" customFormat="false" ht="15" hidden="false" customHeight="false" outlineLevel="0" collapsed="false">
      <c r="M995" s="24" t="str">
        <f aca="false">IF(OR(I995="",J995=""),"",IF(E995="Buy",(J995-I995)/I995,(I995-J995)/I995))</f>
        <v/>
      </c>
      <c r="N995" s="25" t="str">
        <f aca="false">IF(OR(I995="",J995="",I995=G995),"",IF(E995="Buy",(J995-I995)/(I995-G995),(I995-J995)/(G995-I995)))</f>
        <v/>
      </c>
      <c r="O995" s="2" t="str">
        <f aca="false">IF(OR(B995="",K995=""),"",IFERROR(K995-B995,""))</f>
        <v/>
      </c>
      <c r="P995" s="2" t="str">
        <f aca="false">IF(M995="","",IF(M995&gt;0,1,0))</f>
        <v/>
      </c>
    </row>
    <row r="996" customFormat="false" ht="15" hidden="false" customHeight="false" outlineLevel="0" collapsed="false">
      <c r="M996" s="24" t="str">
        <f aca="false">IF(OR(I996="",J996=""),"",IF(E996="Buy",(J996-I996)/I996,(I996-J996)/I996))</f>
        <v/>
      </c>
      <c r="N996" s="25" t="str">
        <f aca="false">IF(OR(I996="",J996="",I996=G996),"",IF(E996="Buy",(J996-I996)/(I996-G996),(I996-J996)/(G996-I996)))</f>
        <v/>
      </c>
      <c r="O996" s="2" t="str">
        <f aca="false">IF(OR(B996="",K996=""),"",IFERROR(K996-B996,""))</f>
        <v/>
      </c>
      <c r="P996" s="2" t="str">
        <f aca="false">IF(M996="","",IF(M996&gt;0,1,0))</f>
        <v/>
      </c>
    </row>
    <row r="997" customFormat="false" ht="15" hidden="false" customHeight="false" outlineLevel="0" collapsed="false">
      <c r="M997" s="24" t="str">
        <f aca="false">IF(OR(I997="",J997=""),"",IF(E997="Buy",(J997-I997)/I997,(I997-J997)/I997))</f>
        <v/>
      </c>
      <c r="N997" s="25" t="str">
        <f aca="false">IF(OR(I997="",J997="",I997=G997),"",IF(E997="Buy",(J997-I997)/(I997-G997),(I997-J997)/(G997-I997)))</f>
        <v/>
      </c>
      <c r="O997" s="2" t="str">
        <f aca="false">IF(OR(B997="",K997=""),"",IFERROR(K997-B997,""))</f>
        <v/>
      </c>
      <c r="P997" s="2" t="str">
        <f aca="false">IF(M997="","",IF(M997&gt;0,1,0))</f>
        <v/>
      </c>
    </row>
    <row r="998" customFormat="false" ht="15" hidden="false" customHeight="false" outlineLevel="0" collapsed="false">
      <c r="M998" s="24" t="str">
        <f aca="false">IF(OR(I998="",J998=""),"",IF(E998="Buy",(J998-I998)/I998,(I998-J998)/I998))</f>
        <v/>
      </c>
      <c r="N998" s="25" t="str">
        <f aca="false">IF(OR(I998="",J998="",I998=G998),"",IF(E998="Buy",(J998-I998)/(I998-G998),(I998-J998)/(G998-I998)))</f>
        <v/>
      </c>
      <c r="O998" s="2" t="str">
        <f aca="false">IF(OR(B998="",K998=""),"",IFERROR(K998-B998,""))</f>
        <v/>
      </c>
      <c r="P998" s="2" t="str">
        <f aca="false">IF(M998="","",IF(M998&gt;0,1,0))</f>
        <v/>
      </c>
    </row>
    <row r="999" customFormat="false" ht="15" hidden="false" customHeight="false" outlineLevel="0" collapsed="false">
      <c r="M999" s="24" t="str">
        <f aca="false">IF(OR(I999="",J999=""),"",IF(E999="Buy",(J999-I999)/I999,(I999-J999)/I999))</f>
        <v/>
      </c>
      <c r="N999" s="25" t="str">
        <f aca="false">IF(OR(I999="",J999="",I999=G999),"",IF(E999="Buy",(J999-I999)/(I999-G999),(I999-J999)/(G999-I999)))</f>
        <v/>
      </c>
      <c r="O999" s="2" t="str">
        <f aca="false">IF(OR(B999="",K999=""),"",IFERROR(K999-B999,""))</f>
        <v/>
      </c>
      <c r="P999" s="2" t="str">
        <f aca="false">IF(M999="","",IF(M999&gt;0,1,0))</f>
        <v/>
      </c>
    </row>
  </sheetData>
  <dataValidations count="1">
    <dataValidation allowBlank="true" errorStyle="stop" operator="between" showDropDown="false" showErrorMessage="false" showInputMessage="false" sqref="L2:L999" type="list">
      <formula1>"Open,Not Triggered,T1 Hit,T2 Hit,SL Hit,Expired,Manual Exit"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4" t="s">
        <v>49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</row>
    <row r="2" customFormat="false" ht="15" hidden="false" customHeight="false" outlineLevel="0" collapsed="false">
      <c r="A2" s="5" t="s">
        <v>64</v>
      </c>
      <c r="B2" s="5" t="n">
        <f aca="false">COUNTIFS(Tracker!$C$2:$C$999,$A2,Tracker!$M$2:$M$999,"&lt;&gt;")-COUNTIFS(Tracker!$C$2:$C$999,$A2,Tracker!$M$2:$M$999,"")</f>
        <v>1</v>
      </c>
      <c r="C2" s="5" t="n">
        <f aca="false">COUNTIFS(Tracker!$C$2:$C$999,$A2,Tracker!$P$2:$P$999,1)</f>
        <v>1</v>
      </c>
      <c r="D2" s="26" t="n">
        <f aca="false">IF(B2=0,0,C2/B2)</f>
        <v>1</v>
      </c>
      <c r="E2" s="27" t="n">
        <f aca="false">IFERROR(AVERAGEIFS(Tracker!$M$2:$M$999,Tracker!$C$2:$C$999,$A2),0)</f>
        <v>0.291666666666667</v>
      </c>
      <c r="F2" s="28" t="n">
        <f aca="false">IFERROR(AVERAGEIFS(Tracker!$N$2:$N$999,Tracker!$C$2:$C$999,$A2),0)</f>
        <v>1.33333333333333</v>
      </c>
      <c r="G2" s="28" t="n">
        <f aca="false">SUMIFS(Tracker!$N$2:$N$999,Tracker!$C$2:$C$999,$A2)</f>
        <v>1.33333333333333</v>
      </c>
      <c r="H2" s="5" t="n">
        <f aca="false">COUNTIFS(Tracker!$C$2:$C$999,$A2,Tracker!$L$2:$L$999,"Open")</f>
        <v>0</v>
      </c>
    </row>
    <row r="3" customFormat="false" ht="15" hidden="false" customHeight="false" outlineLevel="0" collapsed="false">
      <c r="A3" s="5" t="s">
        <v>89</v>
      </c>
      <c r="B3" s="5" t="n">
        <f aca="false">COUNTIFS(Tracker!$C$2:$C$999,$A3,Tracker!$M$2:$M$999,"&lt;&gt;")-COUNTIFS(Tracker!$C$2:$C$999,$A3,Tracker!$M$2:$M$999,"")</f>
        <v>0</v>
      </c>
      <c r="C3" s="5" t="n">
        <f aca="false">COUNTIFS(Tracker!$C$2:$C$999,$A3,Tracker!$P$2:$P$999,1)</f>
        <v>0</v>
      </c>
      <c r="D3" s="26" t="n">
        <f aca="false">IF(B3=0,0,C3/B3)</f>
        <v>0</v>
      </c>
      <c r="E3" s="27" t="n">
        <f aca="false">IFERROR(AVERAGEIFS(Tracker!$M$2:$M$999,Tracker!$C$2:$C$999,$A3),0)</f>
        <v>0</v>
      </c>
      <c r="F3" s="28" t="n">
        <f aca="false">IFERROR(AVERAGEIFS(Tracker!$N$2:$N$999,Tracker!$C$2:$C$999,$A3),0)</f>
        <v>0</v>
      </c>
      <c r="G3" s="28" t="n">
        <f aca="false">SUMIFS(Tracker!$N$2:$N$999,Tracker!$C$2:$C$999,$A3)</f>
        <v>0</v>
      </c>
      <c r="H3" s="5" t="n">
        <f aca="false">COUNTIFS(Tracker!$C$2:$C$999,$A3,Tracker!$L$2:$L$999,"Open")</f>
        <v>0</v>
      </c>
    </row>
    <row r="4" customFormat="false" ht="15" hidden="false" customHeight="false" outlineLevel="0" collapsed="false">
      <c r="A4" s="5" t="s">
        <v>90</v>
      </c>
      <c r="B4" s="5" t="n">
        <f aca="false">COUNTIFS(Tracker!$C$2:$C$999,$A4,Tracker!$M$2:$M$999,"&lt;&gt;")-COUNTIFS(Tracker!$C$2:$C$999,$A4,Tracker!$M$2:$M$999,"")</f>
        <v>0</v>
      </c>
      <c r="C4" s="5" t="n">
        <f aca="false">COUNTIFS(Tracker!$C$2:$C$999,$A4,Tracker!$P$2:$P$999,1)</f>
        <v>0</v>
      </c>
      <c r="D4" s="26" t="n">
        <f aca="false">IF(B4=0,0,C4/B4)</f>
        <v>0</v>
      </c>
      <c r="E4" s="27" t="n">
        <f aca="false">IFERROR(AVERAGEIFS(Tracker!$M$2:$M$999,Tracker!$C$2:$C$999,$A4),0)</f>
        <v>0</v>
      </c>
      <c r="F4" s="28" t="n">
        <f aca="false">IFERROR(AVERAGEIFS(Tracker!$N$2:$N$999,Tracker!$C$2:$C$999,$A4),0)</f>
        <v>0</v>
      </c>
      <c r="G4" s="28" t="n">
        <f aca="false">SUMIFS(Tracker!$N$2:$N$999,Tracker!$C$2:$C$999,$A4)</f>
        <v>0</v>
      </c>
      <c r="H4" s="5" t="n">
        <f aca="false">COUNTIFS(Tracker!$C$2:$C$999,$A4,Tracker!$L$2:$L$999,"Open")</f>
        <v>0</v>
      </c>
    </row>
    <row r="5" customFormat="false" ht="15" hidden="false" customHeight="false" outlineLevel="0" collapsed="false">
      <c r="A5" s="29" t="s">
        <v>91</v>
      </c>
      <c r="B5" s="5" t="n">
        <f aca="false">SUM(B2:B4)</f>
        <v>1</v>
      </c>
      <c r="C5" s="5" t="n">
        <f aca="false">SUM(C2:C4)</f>
        <v>1</v>
      </c>
      <c r="D5" s="26" t="n">
        <f aca="false">IF(B5=0,0,C5/B5)</f>
        <v>1</v>
      </c>
      <c r="E5" s="27" t="n">
        <f aca="false">IFERROR(AVERAGE(Tracker!$M$2:$M$999),0)</f>
        <v>0.291666666666667</v>
      </c>
      <c r="F5" s="28" t="n">
        <f aca="false">IFERROR(AVERAGE(Tracker!$N$2:$N$999),0)</f>
        <v>1.33333333333333</v>
      </c>
      <c r="G5" s="28" t="n">
        <f aca="false">SUM(G2:G4)</f>
        <v>1.33333333333333</v>
      </c>
      <c r="H5" s="5" t="n">
        <f aca="false">SUM(H2:H4)</f>
        <v>0</v>
      </c>
    </row>
    <row r="7" customFormat="false" ht="15" hidden="false" customHeight="false" outlineLevel="0" collapsed="false">
      <c r="A7" s="3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2026-10-26T02:35:51Z</dcterms:created>
  <dc:creator>openpyxl</dc:creator>
  <dc:description/>
  <dc:language>en-US</dc:language>
  <cp:lastModifiedBy/>
  <dcterms:modified xsi:type="dcterms:W3CDTF">2026-10-26T02:35:51Z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